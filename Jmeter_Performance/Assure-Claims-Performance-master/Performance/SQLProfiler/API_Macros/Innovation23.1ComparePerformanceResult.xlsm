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filterPrivacy="1" codeName="ThisWorkbook" defaultThemeVersion="124226"/>
  <xr:revisionPtr revIDLastSave="1116" documentId="8_{82D0BEAE-7CCE-4627-AFA9-34C67CFB6402}" xr6:coauthVersionLast="47" xr6:coauthVersionMax="47" xr10:uidLastSave="{422F959C-1DB8-4BF2-A91C-5F17027B0C30}"/>
  <bookViews>
    <workbookView xWindow="-110" yWindow="-110" windowWidth="19420" windowHeight="10420" tabRatio="913" xr2:uid="{00000000-000D-0000-FFFF-FFFF00000000}"/>
  </bookViews>
  <sheets>
    <sheet name="Compare Results" sheetId="59" r:id="rId1"/>
    <sheet name="TC7" sheetId="22" state="hidden" r:id="rId2"/>
    <sheet name="TC20" sheetId="35" state="hidden" r:id="rId3"/>
  </sheets>
  <definedNames>
    <definedName name="_xlnm.Print_Area" localSheetId="2">'TC20'!$B$1:$I$32</definedName>
    <definedName name="_xlnm.Print_Area" localSheetId="1">'TC7'!$B$1:$J$32</definedName>
    <definedName name="_xlnm.Print_Titles" localSheetId="2">'TC20'!$A$1:$IU$1</definedName>
    <definedName name="_xlnm.Print_Titles" localSheetId="1">'TC7'!$A$1:$IV$1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73" i="59" l="1"/>
  <c r="O301" i="59"/>
  <c r="O300" i="59"/>
  <c r="O299" i="59"/>
  <c r="O298" i="59"/>
  <c r="O297" i="59"/>
  <c r="O296" i="59"/>
  <c r="O292" i="59"/>
  <c r="O291" i="59"/>
  <c r="O290" i="59"/>
  <c r="O289" i="59"/>
  <c r="O288" i="59"/>
  <c r="O287" i="59"/>
  <c r="O283" i="59"/>
  <c r="O282" i="59"/>
  <c r="O281" i="59"/>
  <c r="O280" i="59"/>
  <c r="O279" i="59"/>
  <c r="O278" i="59"/>
  <c r="O274" i="59"/>
  <c r="O272" i="59"/>
  <c r="O270" i="59"/>
  <c r="O269" i="59"/>
  <c r="O265" i="59"/>
  <c r="O264" i="59"/>
  <c r="O263" i="59"/>
  <c r="O262" i="59"/>
  <c r="O261" i="59"/>
  <c r="O260" i="59"/>
  <c r="O271" i="59" l="1"/>
  <c r="O31" i="59"/>
  <c r="O32" i="59"/>
  <c r="O33" i="59"/>
  <c r="O34" i="59"/>
  <c r="O35" i="59"/>
  <c r="O36" i="59"/>
  <c r="O161" i="59" l="1"/>
  <c r="O162" i="59"/>
  <c r="O163" i="59"/>
  <c r="O164" i="59"/>
  <c r="O165" i="59"/>
  <c r="O166" i="59"/>
  <c r="O197" i="59" l="1"/>
  <c r="O198" i="59"/>
  <c r="O199" i="59"/>
  <c r="O200" i="59"/>
  <c r="O201" i="59"/>
  <c r="O202" i="59"/>
  <c r="O256" i="59" l="1"/>
  <c r="O255" i="59"/>
  <c r="O254" i="59"/>
  <c r="O253" i="59"/>
  <c r="O252" i="59"/>
  <c r="O251" i="59"/>
  <c r="O247" i="59"/>
  <c r="O246" i="59"/>
  <c r="O245" i="59"/>
  <c r="O244" i="59"/>
  <c r="O243" i="59"/>
  <c r="O242" i="59"/>
  <c r="O238" i="59"/>
  <c r="O237" i="59"/>
  <c r="O236" i="59"/>
  <c r="O235" i="59"/>
  <c r="O234" i="59"/>
  <c r="O233" i="59"/>
  <c r="O229" i="59"/>
  <c r="O228" i="59"/>
  <c r="O227" i="59"/>
  <c r="O226" i="59"/>
  <c r="O225" i="59"/>
  <c r="O224" i="59"/>
  <c r="O220" i="59"/>
  <c r="O219" i="59"/>
  <c r="O218" i="59"/>
  <c r="O217" i="59"/>
  <c r="O216" i="59"/>
  <c r="O215" i="59"/>
  <c r="O211" i="59"/>
  <c r="O210" i="59"/>
  <c r="O209" i="59"/>
  <c r="O208" i="59"/>
  <c r="O207" i="59"/>
  <c r="O206" i="59"/>
  <c r="O193" i="59"/>
  <c r="O192" i="59"/>
  <c r="O191" i="59"/>
  <c r="O190" i="59"/>
  <c r="O189" i="59"/>
  <c r="O188" i="59"/>
  <c r="O184" i="59"/>
  <c r="O183" i="59"/>
  <c r="O182" i="59"/>
  <c r="O181" i="59"/>
  <c r="O180" i="59"/>
  <c r="O179" i="59"/>
  <c r="O121" i="59"/>
  <c r="O122" i="59"/>
  <c r="O123" i="59"/>
  <c r="O124" i="59"/>
  <c r="O125" i="59"/>
  <c r="O126" i="59"/>
  <c r="O175" i="59" l="1"/>
  <c r="O174" i="59"/>
  <c r="O173" i="59"/>
  <c r="O172" i="59"/>
  <c r="O171" i="59"/>
  <c r="O170" i="59"/>
  <c r="O156" i="59"/>
  <c r="O155" i="59"/>
  <c r="O154" i="59"/>
  <c r="O153" i="59"/>
  <c r="O152" i="59"/>
  <c r="O151" i="59"/>
  <c r="O146" i="59"/>
  <c r="O145" i="59"/>
  <c r="O144" i="59"/>
  <c r="O143" i="59"/>
  <c r="O142" i="59"/>
  <c r="O141" i="59"/>
  <c r="O136" i="59"/>
  <c r="O135" i="59"/>
  <c r="O134" i="59"/>
  <c r="O133" i="59"/>
  <c r="O132" i="59"/>
  <c r="O131" i="59"/>
  <c r="O116" i="59"/>
  <c r="O115" i="59"/>
  <c r="O114" i="59"/>
  <c r="O113" i="59"/>
  <c r="O112" i="59"/>
  <c r="O111" i="59"/>
  <c r="O106" i="59"/>
  <c r="O105" i="59"/>
  <c r="O104" i="59"/>
  <c r="O103" i="59"/>
  <c r="O102" i="59"/>
  <c r="O101" i="59"/>
  <c r="O96" i="59"/>
  <c r="O95" i="59"/>
  <c r="O94" i="59"/>
  <c r="O93" i="59"/>
  <c r="O92" i="59"/>
  <c r="O91" i="59"/>
  <c r="O86" i="59"/>
  <c r="O85" i="59"/>
  <c r="O84" i="59"/>
  <c r="O83" i="59"/>
  <c r="O82" i="59"/>
  <c r="O81" i="59"/>
  <c r="O76" i="59"/>
  <c r="O75" i="59"/>
  <c r="O74" i="59"/>
  <c r="O73" i="59"/>
  <c r="O72" i="59"/>
  <c r="O71" i="59"/>
  <c r="O66" i="59"/>
  <c r="O65" i="59"/>
  <c r="O64" i="59"/>
  <c r="O63" i="59"/>
  <c r="O62" i="59"/>
  <c r="O61" i="59"/>
  <c r="O56" i="59"/>
  <c r="O55" i="59"/>
  <c r="O54" i="59"/>
  <c r="O53" i="59"/>
  <c r="O52" i="59"/>
  <c r="O51" i="59"/>
  <c r="O46" i="59"/>
  <c r="O45" i="59"/>
  <c r="O44" i="59"/>
  <c r="O43" i="59"/>
  <c r="O42" i="59"/>
  <c r="O41" i="59"/>
  <c r="O26" i="59"/>
  <c r="O25" i="59"/>
  <c r="O24" i="59"/>
  <c r="O23" i="59"/>
  <c r="O22" i="59"/>
  <c r="O21" i="59"/>
  <c r="O16" i="59"/>
  <c r="O15" i="59"/>
  <c r="O14" i="59"/>
  <c r="O13" i="59"/>
  <c r="O12" i="59"/>
  <c r="O11" i="59"/>
</calcChain>
</file>

<file path=xl/sharedStrings.xml><?xml version="1.0" encoding="utf-8"?>
<sst xmlns="http://schemas.openxmlformats.org/spreadsheetml/2006/main" count="573" uniqueCount="59">
  <si>
    <t>Mean</t>
  </si>
  <si>
    <t>Max</t>
  </si>
  <si>
    <t>Min</t>
  </si>
  <si>
    <t>#</t>
  </si>
  <si>
    <t>Checkpoint (1 trans)</t>
  </si>
  <si>
    <t>#Trans</t>
  </si>
  <si>
    <t>#Recs</t>
  </si>
  <si>
    <t>Std Dev</t>
  </si>
  <si>
    <t>Median</t>
  </si>
  <si>
    <t>Response Time</t>
  </si>
  <si>
    <t>Script name</t>
  </si>
  <si>
    <t>TC7 - Print check from Funds</t>
  </si>
  <si>
    <t>TC20 - Maintain Entity Information</t>
  </si>
  <si>
    <t>PC Run ID</t>
  </si>
  <si>
    <t>Virtual Users</t>
  </si>
  <si>
    <t xml:space="preserve">
Min</t>
  </si>
  <si>
    <t>Actual Degradation %</t>
  </si>
  <si>
    <t>% Completion Rate</t>
  </si>
  <si>
    <t>-</t>
  </si>
  <si>
    <t>Compare Results (Column 'C' &amp; 'J')</t>
  </si>
  <si>
    <t>All Times are Listed in Seconds</t>
  </si>
  <si>
    <t>Script:  TC1 - Create a new GC Claim. Download a Policy from Staging and add insured as Claimant. Create a Recovery reserve &amp; Make a Collection</t>
  </si>
  <si>
    <t>Script:  TC2 – Create a new GC Claim. Download a Policy from Staging (LOB- WCV). Create an Expense reserve &amp; Make a Payment</t>
  </si>
  <si>
    <t>Script:  TC3 - Search General Claim Record and Modify Existing Reserve</t>
  </si>
  <si>
    <t>Script: TC4 - Search Existing GC Claims and create First and final Payment</t>
  </si>
  <si>
    <t>Script:  TC5 - Search &amp; Download an existing Policy. Create a new GC claim starting with the policy</t>
  </si>
  <si>
    <t>Script:  TC6 - Search &amp; Download an existing Policy. Create a new WC claim starting with the policy</t>
  </si>
  <si>
    <t>Script:  TC7 - Create a new WC Claim. Create a Recovery reserve &amp; Make a Collection</t>
  </si>
  <si>
    <t>Script:  TC8 - Create a new WC Claim. Create a Medical/Expense Reserve &amp; Make a Payment</t>
  </si>
  <si>
    <t>Script:  TC9 - Search WC Claim Record and Modify Existing Reserve</t>
  </si>
  <si>
    <t>Script:  TC10 - Search Existing WC Claim and create Supplemental Payment</t>
  </si>
  <si>
    <t>Script:  TC12 - Search for an existing claim. Create new litigation record. Update the litigation record</t>
  </si>
  <si>
    <t>Script:  TC13 - Search for an existing claim. Create new Liability loss record</t>
  </si>
  <si>
    <t>Script:  TC14 - Search and View Employee Information</t>
  </si>
  <si>
    <t>Script:  TC15 - Display Organization Hierarchy Tree</t>
  </si>
  <si>
    <t>Script:  TC16 - Create Event and Display Recent Events</t>
  </si>
  <si>
    <t>Script:  TC17 - Display Diary list and create a Diary</t>
  </si>
  <si>
    <t>Script: TC18 - Display Executive Summary</t>
  </si>
  <si>
    <t>Script:  TC19 - Create Enhanced Note</t>
  </si>
  <si>
    <t>Script:  TC20 - Create Entity</t>
  </si>
  <si>
    <t>Script:  TC21 - Maintain Entity Information</t>
  </si>
  <si>
    <t>Script:  TC22 - Display Diary Calendar</t>
  </si>
  <si>
    <t>Script:  TC23 - Search and View Claim Information using Claimant First Name and Last name</t>
  </si>
  <si>
    <t>Script:  TC24 - Search for an existing claim. Load all comments for the claim</t>
  </si>
  <si>
    <t>Script:  TC25 - Search for an existing claim. Load all Diaries for the claim</t>
  </si>
  <si>
    <t>Script: TC26 - Search for an existing claim. Load all Enhanced notes for the claim</t>
  </si>
  <si>
    <t>Script: TC27 - Search for an existing claim. Load all Attachments for the claim</t>
  </si>
  <si>
    <t>Script: TC28 - Display Payment/Transaction history screen</t>
  </si>
  <si>
    <t>Script: TC29 - Standard Diary Search</t>
  </si>
  <si>
    <t>Script: TC30 - Create Attachments on Claim screen</t>
  </si>
  <si>
    <t>Script: TC31 - Create and Edit Org Hierarchy from Maintenance</t>
  </si>
  <si>
    <t>Script: TC32 - Create Claimant on GC</t>
  </si>
  <si>
    <t>JMETER 5.3</t>
  </si>
  <si>
    <t>Executed on 22.3 build</t>
  </si>
  <si>
    <t>-% Performance Improved below SLA (let it be 20% &amp; 1.5 seconds)</t>
  </si>
  <si>
    <t>+% Performance Degraded above SLA</t>
  </si>
  <si>
    <t>Improved/Degrade values within SLA</t>
  </si>
  <si>
    <t>Executed on 22.4 build</t>
  </si>
  <si>
    <t>Performance Tests execution completed on 12/15/2022 for DXC Assure Claims22.4 (RMA-22.4 rmA-22.3 CDR-dcf70b585)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</si>
</sst>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Verdan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NewBaskerville"/>
      <family val="1"/>
    </font>
    <font>
      <sz val="12"/>
      <name val="Arial"/>
      <family val="2"/>
    </font>
    <font>
      <b/>
      <sz val="10"/>
      <color indexed="17"/>
      <name val="Arial"/>
      <family val="2"/>
    </font>
    <font>
      <b/>
      <sz val="10"/>
      <name val="NewBaskerville"/>
      <family val="1"/>
    </font>
    <font>
      <sz val="11"/>
      <color rgb="FFFF0000"/>
      <name val="Calibri"/>
      <family val="2"/>
      <scheme val="minor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009900"/>
      <name val="Arial"/>
      <family val="2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8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4">
    <xf numFmtId="0" fontId="0" fillId="0" borderId="0"/>
    <xf numFmtId="0" fontId="6" fillId="0" borderId="0"/>
    <xf numFmtId="0" fontId="8" fillId="0" borderId="0" applyProtection="0"/>
    <xf numFmtId="0" fontId="3" fillId="0" borderId="0"/>
  </cellStyleXfs>
  <cellXfs count="96">
    <xf numFmtId="0" fontId="0" fillId="0" borderId="0" xfId="0"/>
    <xf numFmtId="0" fontId="0" fillId="0" borderId="0" xfId="0" applyProtection="1">
      <protection hidden="1"/>
    </xf>
    <xf numFmtId="0" fontId="0" fillId="0" borderId="0" xfId="0" applyFill="1" applyBorder="1" applyProtection="1">
      <protection hidden="1"/>
    </xf>
    <xf numFmtId="0" fontId="3" fillId="0" borderId="0" xfId="1" applyFont="1" applyAlignment="1"/>
    <xf numFmtId="0" fontId="2" fillId="0" borderId="0" xfId="1" applyFont="1" applyAlignment="1"/>
    <xf numFmtId="0" fontId="3" fillId="0" borderId="0" xfId="1" applyFont="1"/>
    <xf numFmtId="0" fontId="4" fillId="2" borderId="1" xfId="1" applyFont="1" applyFill="1" applyBorder="1" applyAlignment="1"/>
    <xf numFmtId="0" fontId="4" fillId="2" borderId="1" xfId="1" applyNumberFormat="1" applyFont="1" applyFill="1" applyBorder="1" applyAlignment="1">
      <alignment horizontal="center"/>
    </xf>
    <xf numFmtId="9" fontId="4" fillId="2" borderId="1" xfId="1" applyNumberFormat="1" applyFont="1" applyFill="1" applyBorder="1" applyAlignment="1">
      <alignment horizontal="center"/>
    </xf>
    <xf numFmtId="0" fontId="6" fillId="0" borderId="0" xfId="1"/>
    <xf numFmtId="0" fontId="1" fillId="0" borderId="1" xfId="1" applyFont="1" applyFill="1" applyBorder="1" applyAlignment="1"/>
    <xf numFmtId="0" fontId="1" fillId="2" borderId="1" xfId="1" applyFont="1" applyFill="1" applyBorder="1" applyAlignment="1"/>
    <xf numFmtId="0" fontId="6" fillId="2" borderId="1" xfId="1" applyFill="1" applyBorder="1" applyAlignment="1"/>
    <xf numFmtId="0" fontId="5" fillId="2" borderId="1" xfId="1" applyNumberFormat="1" applyFont="1" applyFill="1" applyBorder="1" applyAlignment="1">
      <alignment horizontal="center"/>
    </xf>
    <xf numFmtId="0" fontId="6" fillId="0" borderId="0" xfId="1" applyFill="1"/>
    <xf numFmtId="0" fontId="6" fillId="0" borderId="0" xfId="1" applyAlignment="1">
      <alignment horizontal="center"/>
    </xf>
    <xf numFmtId="2" fontId="6" fillId="0" borderId="0" xfId="1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0" borderId="0" xfId="1" applyFont="1" applyAlignment="1">
      <alignment horizontal="left"/>
    </xf>
    <xf numFmtId="0" fontId="4" fillId="2" borderId="1" xfId="1" applyFont="1" applyFill="1" applyBorder="1" applyAlignment="1">
      <alignment horizontal="left"/>
    </xf>
    <xf numFmtId="0" fontId="0" fillId="0" borderId="0" xfId="0" applyAlignment="1">
      <alignment horizontal="left" wrapText="1"/>
    </xf>
    <xf numFmtId="0" fontId="6" fillId="2" borderId="1" xfId="1" applyFill="1" applyBorder="1" applyAlignment="1">
      <alignment horizontal="left"/>
    </xf>
    <xf numFmtId="0" fontId="6" fillId="0" borderId="0" xfId="1" applyAlignment="1">
      <alignment horizontal="left"/>
    </xf>
    <xf numFmtId="0" fontId="0" fillId="0" borderId="0" xfId="0" applyAlignment="1">
      <alignment vertical="center"/>
    </xf>
    <xf numFmtId="0" fontId="2" fillId="5" borderId="8" xfId="2" applyFont="1" applyFill="1" applyBorder="1" applyAlignment="1" applyProtection="1">
      <alignment horizontal="center"/>
      <protection hidden="1"/>
    </xf>
    <xf numFmtId="2" fontId="3" fillId="5" borderId="1" xfId="2" applyNumberFormat="1" applyFont="1" applyFill="1" applyBorder="1" applyAlignment="1" applyProtection="1">
      <alignment horizontal="center"/>
      <protection hidden="1"/>
    </xf>
    <xf numFmtId="2" fontId="2" fillId="5" borderId="1" xfId="2" applyNumberFormat="1" applyFont="1" applyFill="1" applyBorder="1" applyAlignment="1" applyProtection="1">
      <alignment horizontal="center"/>
      <protection hidden="1"/>
    </xf>
    <xf numFmtId="2" fontId="9" fillId="5" borderId="1" xfId="2" applyNumberFormat="1" applyFont="1" applyFill="1" applyBorder="1" applyAlignment="1" applyProtection="1">
      <alignment horizontal="center"/>
      <protection hidden="1"/>
    </xf>
    <xf numFmtId="9" fontId="1" fillId="5" borderId="1" xfId="2" quotePrefix="1" applyNumberFormat="1" applyFont="1" applyFill="1" applyBorder="1" applyAlignment="1" applyProtection="1">
      <alignment horizontal="center"/>
      <protection hidden="1"/>
    </xf>
    <xf numFmtId="9" fontId="10" fillId="5" borderId="9" xfId="2" applyNumberFormat="1" applyFont="1" applyFill="1" applyBorder="1" applyAlignment="1" applyProtection="1">
      <alignment horizontal="center"/>
      <protection hidden="1"/>
    </xf>
    <xf numFmtId="9" fontId="10" fillId="5" borderId="10" xfId="2" applyNumberFormat="1" applyFont="1" applyFill="1" applyBorder="1" applyAlignment="1" applyProtection="1">
      <alignment horizontal="center"/>
      <protection hidden="1"/>
    </xf>
    <xf numFmtId="0" fontId="2" fillId="5" borderId="11" xfId="2" applyFont="1" applyFill="1" applyBorder="1" applyAlignment="1" applyProtection="1">
      <alignment horizontal="center"/>
      <protection hidden="1"/>
    </xf>
    <xf numFmtId="2" fontId="3" fillId="5" borderId="12" xfId="2" applyNumberFormat="1" applyFont="1" applyFill="1" applyBorder="1" applyAlignment="1" applyProtection="1">
      <alignment horizontal="center"/>
      <protection hidden="1"/>
    </xf>
    <xf numFmtId="2" fontId="2" fillId="5" borderId="12" xfId="2" applyNumberFormat="1" applyFont="1" applyFill="1" applyBorder="1" applyAlignment="1" applyProtection="1">
      <alignment horizontal="center"/>
      <protection hidden="1"/>
    </xf>
    <xf numFmtId="2" fontId="3" fillId="5" borderId="13" xfId="2" applyNumberFormat="1" applyFont="1" applyFill="1" applyBorder="1" applyAlignment="1" applyProtection="1">
      <alignment horizontal="center"/>
      <protection hidden="1"/>
    </xf>
    <xf numFmtId="9" fontId="10" fillId="5" borderId="14" xfId="2" applyNumberFormat="1" applyFont="1" applyFill="1" applyBorder="1" applyAlignment="1" applyProtection="1">
      <alignment horizontal="center"/>
      <protection hidden="1"/>
    </xf>
    <xf numFmtId="0" fontId="8" fillId="0" borderId="0" xfId="2" applyFont="1" applyAlignment="1" applyProtection="1">
      <alignment horizontal="center"/>
      <protection hidden="1"/>
    </xf>
    <xf numFmtId="0" fontId="11" fillId="0" borderId="0" xfId="2" applyFont="1" applyAlignment="1" applyProtection="1">
      <alignment horizontal="center"/>
      <protection hidden="1"/>
    </xf>
    <xf numFmtId="10" fontId="11" fillId="0" borderId="0" xfId="2" applyNumberFormat="1" applyFont="1" applyAlignment="1" applyProtection="1">
      <alignment horizontal="center"/>
      <protection hidden="1"/>
    </xf>
    <xf numFmtId="9" fontId="1" fillId="5" borderId="1" xfId="2" applyNumberFormat="1" applyFont="1" applyFill="1" applyBorder="1" applyAlignment="1" applyProtection="1">
      <alignment horizontal="center"/>
      <protection hidden="1"/>
    </xf>
    <xf numFmtId="9" fontId="1" fillId="5" borderId="12" xfId="2" applyNumberFormat="1" applyFont="1" applyFill="1" applyBorder="1" applyAlignment="1" applyProtection="1">
      <alignment horizontal="center"/>
      <protection hidden="1"/>
    </xf>
    <xf numFmtId="9" fontId="10" fillId="5" borderId="15" xfId="2" applyNumberFormat="1" applyFont="1" applyFill="1" applyBorder="1" applyAlignment="1" applyProtection="1">
      <alignment horizontal="center"/>
      <protection hidden="1"/>
    </xf>
    <xf numFmtId="2" fontId="9" fillId="5" borderId="12" xfId="2" applyNumberFormat="1" applyFont="1" applyFill="1" applyBorder="1" applyAlignment="1" applyProtection="1">
      <alignment horizontal="center"/>
      <protection hidden="1"/>
    </xf>
    <xf numFmtId="0" fontId="2" fillId="5" borderId="5" xfId="2" applyFont="1" applyFill="1" applyBorder="1" applyAlignment="1" applyProtection="1">
      <alignment horizontal="center" vertical="top" wrapText="1"/>
      <protection hidden="1"/>
    </xf>
    <xf numFmtId="0" fontId="2" fillId="5" borderId="6" xfId="2" applyFont="1" applyFill="1" applyBorder="1" applyAlignment="1" applyProtection="1">
      <alignment horizontal="center" vertical="top" wrapText="1"/>
      <protection hidden="1"/>
    </xf>
    <xf numFmtId="10" fontId="2" fillId="5" borderId="7" xfId="2" applyNumberFormat="1" applyFont="1" applyFill="1" applyBorder="1" applyAlignment="1" applyProtection="1">
      <alignment horizontal="center" vertical="top" wrapText="1"/>
      <protection hidden="1"/>
    </xf>
    <xf numFmtId="0" fontId="0" fillId="0" borderId="0" xfId="0" applyAlignment="1">
      <alignment horizontal="center" vertical="top" wrapText="1"/>
    </xf>
    <xf numFmtId="0" fontId="2" fillId="5" borderId="16" xfId="2" applyFont="1" applyFill="1" applyBorder="1" applyAlignment="1" applyProtection="1">
      <alignment horizontal="center" vertical="top" wrapText="1"/>
      <protection hidden="1"/>
    </xf>
    <xf numFmtId="0" fontId="2" fillId="5" borderId="17" xfId="2" applyFont="1" applyFill="1" applyBorder="1" applyAlignment="1" applyProtection="1">
      <alignment horizontal="center" vertical="top" wrapText="1"/>
      <protection hidden="1"/>
    </xf>
    <xf numFmtId="10" fontId="2" fillId="5" borderId="18" xfId="2" applyNumberFormat="1" applyFont="1" applyFill="1" applyBorder="1" applyAlignment="1" applyProtection="1">
      <alignment horizontal="center" vertical="top" wrapText="1"/>
      <protection hidden="1"/>
    </xf>
    <xf numFmtId="9" fontId="13" fillId="5" borderId="12" xfId="2" applyNumberFormat="1" applyFont="1" applyFill="1" applyBorder="1" applyAlignment="1" applyProtection="1">
      <alignment horizontal="center"/>
      <protection hidden="1"/>
    </xf>
    <xf numFmtId="9" fontId="14" fillId="5" borderId="1" xfId="2" applyNumberFormat="1" applyFont="1" applyFill="1" applyBorder="1" applyAlignment="1" applyProtection="1">
      <alignment horizontal="center"/>
      <protection hidden="1"/>
    </xf>
    <xf numFmtId="9" fontId="13" fillId="5" borderId="1" xfId="2" applyNumberFormat="1" applyFont="1" applyFill="1" applyBorder="1" applyAlignment="1" applyProtection="1">
      <alignment horizontal="center"/>
      <protection hidden="1"/>
    </xf>
    <xf numFmtId="9" fontId="17" fillId="5" borderId="1" xfId="2" applyNumberFormat="1" applyFont="1" applyFill="1" applyBorder="1" applyAlignment="1" applyProtection="1">
      <alignment horizontal="center"/>
      <protection hidden="1"/>
    </xf>
    <xf numFmtId="9" fontId="0" fillId="0" borderId="0" xfId="0" applyNumberFormat="1"/>
    <xf numFmtId="0" fontId="0" fillId="0" borderId="23" xfId="0" applyBorder="1" applyAlignment="1">
      <alignment horizontal="center" vertical="top" wrapText="1"/>
    </xf>
    <xf numFmtId="0" fontId="0" fillId="0" borderId="23" xfId="0" applyBorder="1"/>
    <xf numFmtId="0" fontId="0" fillId="0" borderId="24" xfId="0" applyBorder="1"/>
    <xf numFmtId="9" fontId="13" fillId="5" borderId="25" xfId="2" applyNumberFormat="1" applyFont="1" applyFill="1" applyBorder="1" applyAlignment="1" applyProtection="1">
      <alignment horizontal="center"/>
      <protection hidden="1"/>
    </xf>
    <xf numFmtId="2" fontId="3" fillId="5" borderId="26" xfId="2" applyNumberFormat="1" applyFont="1" applyFill="1" applyBorder="1" applyAlignment="1" applyProtection="1">
      <alignment horizontal="center"/>
      <protection hidden="1"/>
    </xf>
    <xf numFmtId="0" fontId="18" fillId="0" borderId="0" xfId="0" applyFont="1" applyAlignment="1">
      <alignment horizontal="center" vertical="top"/>
    </xf>
    <xf numFmtId="9" fontId="1" fillId="6" borderId="21" xfId="2" quotePrefix="1" applyNumberFormat="1" applyFont="1" applyFill="1" applyBorder="1" applyAlignment="1" applyProtection="1">
      <alignment horizontal="center"/>
      <protection hidden="1"/>
    </xf>
    <xf numFmtId="9" fontId="13" fillId="6" borderId="21" xfId="2" applyNumberFormat="1" applyFont="1" applyFill="1" applyBorder="1" applyAlignment="1" applyProtection="1">
      <alignment horizontal="center"/>
      <protection hidden="1"/>
    </xf>
    <xf numFmtId="2" fontId="3" fillId="6" borderId="21" xfId="2" applyNumberFormat="1" applyFont="1" applyFill="1" applyBorder="1" applyAlignment="1" applyProtection="1">
      <alignment horizontal="center"/>
      <protection hidden="1"/>
    </xf>
    <xf numFmtId="9" fontId="1" fillId="6" borderId="21" xfId="2" quotePrefix="1" applyNumberFormat="1" applyFont="1" applyFill="1" applyBorder="1" applyAlignment="1" applyProtection="1">
      <alignment horizontal="center"/>
      <protection hidden="1"/>
    </xf>
    <xf numFmtId="9" fontId="19" fillId="6" borderId="21" xfId="2" applyNumberFormat="1" applyFont="1" applyFill="1" applyBorder="1" applyAlignment="1" applyProtection="1">
      <alignment horizontal="center"/>
      <protection hidden="1"/>
    </xf>
    <xf numFmtId="9" fontId="14" fillId="6" borderId="21" xfId="2" applyNumberFormat="1" applyFont="1" applyFill="1" applyBorder="1" applyAlignment="1" applyProtection="1">
      <alignment horizontal="center"/>
      <protection hidden="1"/>
    </xf>
    <xf numFmtId="2" fontId="2" fillId="6" borderId="21" xfId="2" applyNumberFormat="1" applyFont="1" applyFill="1" applyBorder="1" applyAlignment="1" applyProtection="1">
      <alignment horizontal="center"/>
      <protection hidden="1"/>
    </xf>
    <xf numFmtId="2" fontId="20" fillId="6" borderId="21" xfId="2" applyNumberFormat="1" applyFont="1" applyFill="1" applyBorder="1" applyAlignment="1" applyProtection="1">
      <alignment horizontal="center"/>
      <protection hidden="1"/>
    </xf>
    <xf numFmtId="0" fontId="1" fillId="4" borderId="2" xfId="2" applyFont="1" applyFill="1" applyBorder="1" applyAlignment="1" applyProtection="1">
      <alignment horizontal="left" vertical="center" wrapText="1"/>
      <protection hidden="1"/>
    </xf>
    <xf numFmtId="0" fontId="1" fillId="4" borderId="3" xfId="2" applyFont="1" applyFill="1" applyBorder="1" applyAlignment="1" applyProtection="1">
      <alignment horizontal="left" vertical="center" wrapText="1"/>
      <protection hidden="1"/>
    </xf>
    <xf numFmtId="0" fontId="1" fillId="4" borderId="4" xfId="2" applyFont="1" applyFill="1" applyBorder="1" applyAlignment="1" applyProtection="1">
      <alignment horizontal="left" vertical="center" wrapText="1"/>
      <protection hidden="1"/>
    </xf>
    <xf numFmtId="0" fontId="1" fillId="4" borderId="27" xfId="2" applyFont="1" applyFill="1" applyBorder="1" applyAlignment="1" applyProtection="1">
      <alignment horizontal="left" vertical="center" wrapText="1"/>
      <protection hidden="1"/>
    </xf>
    <xf numFmtId="0" fontId="1" fillId="4" borderId="28" xfId="2" applyFont="1" applyFill="1" applyBorder="1" applyAlignment="1" applyProtection="1">
      <alignment horizontal="left" vertical="center" wrapText="1"/>
      <protection hidden="1"/>
    </xf>
    <xf numFmtId="0" fontId="1" fillId="4" borderId="20" xfId="2" applyFont="1" applyFill="1" applyBorder="1" applyAlignment="1" applyProtection="1">
      <alignment horizontal="left" vertical="center" wrapText="1"/>
      <protection hidden="1"/>
    </xf>
    <xf numFmtId="0" fontId="1" fillId="4" borderId="21" xfId="2" applyFont="1" applyFill="1" applyBorder="1" applyAlignment="1" applyProtection="1">
      <alignment horizontal="left" vertical="center" wrapText="1"/>
      <protection hidden="1"/>
    </xf>
    <xf numFmtId="0" fontId="1" fillId="4" borderId="19" xfId="2" applyFont="1" applyFill="1" applyBorder="1" applyAlignment="1" applyProtection="1">
      <alignment horizontal="left" vertical="center" wrapText="1"/>
      <protection hidden="1"/>
    </xf>
    <xf numFmtId="0" fontId="7" fillId="3" borderId="1" xfId="0" applyFont="1" applyFill="1" applyBorder="1" applyAlignment="1">
      <alignment horizontal="center" vertical="top"/>
    </xf>
    <xf numFmtId="0" fontId="15" fillId="0" borderId="0" xfId="0" applyFont="1" applyAlignment="1" applyProtection="1">
      <alignment horizontal="left" vertical="center" wrapText="1"/>
      <protection hidden="1"/>
    </xf>
    <xf numFmtId="0" fontId="16" fillId="0" borderId="0" xfId="0" applyFont="1" applyAlignment="1" applyProtection="1">
      <alignment vertical="center" wrapText="1"/>
      <protection hidden="1"/>
    </xf>
    <xf numFmtId="0" fontId="0" fillId="0" borderId="0" xfId="0" applyAlignment="1"/>
    <xf numFmtId="0" fontId="12" fillId="0" borderId="0" xfId="0" applyFont="1" applyAlignment="1"/>
    <xf numFmtId="9" fontId="14" fillId="0" borderId="1" xfId="2" applyNumberFormat="1" applyFont="1" applyFill="1" applyBorder="1" applyAlignment="1" applyProtection="1">
      <alignment horizontal="center"/>
      <protection hidden="1"/>
    </xf>
    <xf numFmtId="9" fontId="21" fillId="0" borderId="1" xfId="0" quotePrefix="1" applyNumberFormat="1" applyFont="1" applyFill="1" applyBorder="1"/>
    <xf numFmtId="9" fontId="21" fillId="0" borderId="1" xfId="0" applyNumberFormat="1" applyFont="1" applyFill="1" applyBorder="1"/>
    <xf numFmtId="9" fontId="22" fillId="0" borderId="1" xfId="0" applyNumberFormat="1" applyFont="1" applyFill="1" applyBorder="1" applyAlignment="1">
      <alignment horizontal="center" vertical="top" wrapText="1"/>
    </xf>
    <xf numFmtId="9" fontId="21" fillId="0" borderId="1" xfId="0" applyNumberFormat="1" applyFont="1" applyFill="1" applyBorder="1" applyAlignment="1">
      <alignment horizontal="center"/>
    </xf>
    <xf numFmtId="9" fontId="21" fillId="0" borderId="1" xfId="0" applyNumberFormat="1" applyFont="1" applyFill="1" applyBorder="1" applyAlignment="1">
      <alignment horizontal="center" vertical="top" wrapText="1"/>
    </xf>
    <xf numFmtId="9" fontId="1" fillId="0" borderId="1" xfId="2" applyNumberFormat="1" applyFont="1" applyFill="1" applyBorder="1" applyAlignment="1" applyProtection="1">
      <alignment horizontal="center"/>
      <protection hidden="1"/>
    </xf>
    <xf numFmtId="9" fontId="21" fillId="0" borderId="22" xfId="0" applyNumberFormat="1" applyFont="1" applyFill="1" applyBorder="1" applyAlignment="1">
      <alignment horizontal="center"/>
    </xf>
    <xf numFmtId="9" fontId="21" fillId="0" borderId="22" xfId="0" applyNumberFormat="1" applyFont="1" applyFill="1" applyBorder="1" applyAlignment="1">
      <alignment horizontal="center" vertical="top" wrapText="1"/>
    </xf>
    <xf numFmtId="9" fontId="1" fillId="0" borderId="22" xfId="2" applyNumberFormat="1" applyFont="1" applyFill="1" applyBorder="1" applyAlignment="1" applyProtection="1">
      <alignment horizontal="center"/>
      <protection hidden="1"/>
    </xf>
    <xf numFmtId="9" fontId="21" fillId="0" borderId="0" xfId="0" applyNumberFormat="1" applyFont="1" applyFill="1"/>
    <xf numFmtId="9" fontId="1" fillId="7" borderId="1" xfId="2" applyNumberFormat="1" applyFont="1" applyFill="1" applyBorder="1" applyAlignment="1" applyProtection="1">
      <alignment horizontal="center"/>
      <protection hidden="1"/>
    </xf>
    <xf numFmtId="9" fontId="23" fillId="0" borderId="1" xfId="2" applyNumberFormat="1" applyFont="1" applyFill="1" applyBorder="1" applyAlignment="1" applyProtection="1">
      <alignment horizontal="center"/>
      <protection hidden="1"/>
    </xf>
  </cellXfs>
  <cellStyles count="4">
    <cellStyle name="Normal" xfId="0" builtinId="0"/>
    <cellStyle name="Normal 2" xfId="1" xr:uid="{00000000-0005-0000-0000-000001000000}"/>
    <cellStyle name="Normal 2 2" xfId="3" xr:uid="{172296FA-8DBE-4C84-BC11-776C448E5881}"/>
    <cellStyle name="Normal_Montgomery Final Performance Test Results (12-14-01)" xfId="2" xr:uid="{00000000-0005-0000-0000-000002000000}"/>
  </cellStyles>
  <dxfs count="756">
    <dxf>
      <font>
        <color rgb="FF006100"/>
      </font>
      <fill>
        <patternFill>
          <bgColor rgb="FFC6EFCE"/>
        </patternFill>
      </fill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  <dxf>
      <font>
        <b/>
        <i val="0"/>
        <strike val="0"/>
        <color rgb="FF008000"/>
      </font>
    </dxf>
    <dxf>
      <font>
        <b/>
        <i val="0"/>
        <strike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301"/>
  <sheetViews>
    <sheetView tabSelected="1" topLeftCell="A19" zoomScale="76" zoomScaleNormal="76" workbookViewId="0">
      <selection activeCell="P17" sqref="P17"/>
    </sheetView>
  </sheetViews>
  <sheetFormatPr defaultRowHeight="14.5"/>
  <cols>
    <col min="1" max="1" width="10.453125" customWidth="1"/>
    <col min="5" max="5" width="17.36328125" customWidth="1"/>
    <col min="6" max="6" width="17.6328125" customWidth="1"/>
    <col min="7" max="7" width="3" customWidth="1"/>
    <col min="8" max="8" width="10.453125" customWidth="1"/>
    <col min="12" max="12" width="17.36328125" customWidth="1"/>
    <col min="13" max="13" width="17.6328125" customWidth="1"/>
    <col min="14" max="14" width="3" customWidth="1"/>
    <col min="15" max="15" width="18" style="93" customWidth="1"/>
  </cols>
  <sheetData>
    <row r="1" spans="1:44" ht="17.5">
      <c r="A1" s="79" t="s">
        <v>52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1"/>
      <c r="O1" s="82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</row>
    <row r="2" spans="1:44" ht="17.5">
      <c r="A2" s="79" t="s">
        <v>58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1"/>
      <c r="O2" s="82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</row>
    <row r="3" spans="1:44" ht="17.5">
      <c r="A3" s="79" t="s">
        <v>20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1"/>
      <c r="O3" s="82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</row>
    <row r="4" spans="1:44">
      <c r="O4" s="84" t="s">
        <v>54</v>
      </c>
    </row>
    <row r="5" spans="1:44" ht="16.25" customHeight="1">
      <c r="O5" s="85" t="s">
        <v>56</v>
      </c>
    </row>
    <row r="6" spans="1:44" ht="16.25" customHeight="1">
      <c r="O6" s="84" t="s">
        <v>55</v>
      </c>
    </row>
    <row r="7" spans="1:44" s="47" customFormat="1" ht="29">
      <c r="A7" s="78" t="s">
        <v>53</v>
      </c>
      <c r="B7" s="78"/>
      <c r="C7" s="78"/>
      <c r="D7" s="78"/>
      <c r="E7"/>
      <c r="F7"/>
      <c r="G7"/>
      <c r="H7" s="78" t="s">
        <v>57</v>
      </c>
      <c r="I7" s="78"/>
      <c r="J7" s="78"/>
      <c r="K7" s="78"/>
      <c r="L7"/>
      <c r="M7"/>
      <c r="N7"/>
      <c r="O7" s="86" t="s">
        <v>19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 ht="15" thickBot="1">
      <c r="O8" s="85"/>
    </row>
    <row r="9" spans="1:44" ht="48.65" customHeight="1" thickBot="1">
      <c r="A9" s="70" t="s">
        <v>21</v>
      </c>
      <c r="B9" s="71"/>
      <c r="C9" s="71"/>
      <c r="D9" s="71"/>
      <c r="E9" s="71"/>
      <c r="F9" s="71"/>
      <c r="G9" s="71"/>
      <c r="H9" s="70" t="s">
        <v>21</v>
      </c>
      <c r="I9" s="71"/>
      <c r="J9" s="71"/>
      <c r="K9" s="71"/>
      <c r="L9" s="71"/>
      <c r="M9" s="71"/>
      <c r="N9" s="71"/>
      <c r="O9" s="87"/>
    </row>
    <row r="10" spans="1:44" ht="26.5" thickBot="1">
      <c r="A10" s="44" t="s">
        <v>14</v>
      </c>
      <c r="B10" s="45" t="s">
        <v>2</v>
      </c>
      <c r="C10" s="45" t="s">
        <v>0</v>
      </c>
      <c r="D10" s="45" t="s">
        <v>1</v>
      </c>
      <c r="E10" s="45" t="s">
        <v>16</v>
      </c>
      <c r="F10" s="46" t="s">
        <v>17</v>
      </c>
      <c r="G10" s="47"/>
      <c r="H10" s="44" t="s">
        <v>14</v>
      </c>
      <c r="I10" s="45" t="s">
        <v>2</v>
      </c>
      <c r="J10" s="45" t="s">
        <v>0</v>
      </c>
      <c r="K10" s="45" t="s">
        <v>1</v>
      </c>
      <c r="L10" s="45" t="s">
        <v>16</v>
      </c>
      <c r="M10" s="46" t="s">
        <v>17</v>
      </c>
      <c r="N10" s="47"/>
      <c r="O10" s="88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</row>
    <row r="11" spans="1:44" ht="16" thickBot="1">
      <c r="A11" s="25">
        <v>1</v>
      </c>
      <c r="B11" s="64">
        <v>16.329999923706055</v>
      </c>
      <c r="C11" s="64">
        <v>16.329999923706055</v>
      </c>
      <c r="D11" s="68">
        <v>16.329999923706055</v>
      </c>
      <c r="E11" s="65" t="s">
        <v>18</v>
      </c>
      <c r="F11" s="31">
        <v>1</v>
      </c>
      <c r="G11" s="55"/>
      <c r="H11" s="25">
        <v>1</v>
      </c>
      <c r="I11" s="64">
        <v>13.363333384195963</v>
      </c>
      <c r="J11" s="64">
        <v>13.363333384195963</v>
      </c>
      <c r="K11" s="68">
        <v>13.363333384195963</v>
      </c>
      <c r="L11" s="62" t="s">
        <v>18</v>
      </c>
      <c r="M11" s="31">
        <v>1</v>
      </c>
      <c r="N11" s="55"/>
      <c r="O11" s="94">
        <f t="shared" ref="O11:O16" si="0">(J11-C11)/C11</f>
        <v>-0.18166972157810113</v>
      </c>
    </row>
    <row r="12" spans="1:44" ht="16" thickBot="1">
      <c r="A12" s="25">
        <v>5</v>
      </c>
      <c r="B12" s="64">
        <v>15.086666742960611</v>
      </c>
      <c r="C12" s="64">
        <v>15.646666526794434</v>
      </c>
      <c r="D12" s="68">
        <v>16.130000114440918</v>
      </c>
      <c r="E12" s="63">
        <v>-4.1845278634670087E-2</v>
      </c>
      <c r="F12" s="31">
        <v>1</v>
      </c>
      <c r="G12" s="55"/>
      <c r="H12" s="25">
        <v>5</v>
      </c>
      <c r="I12" s="64">
        <v>12.09333324432373</v>
      </c>
      <c r="J12" s="64">
        <v>12.490000089009603</v>
      </c>
      <c r="K12" s="68">
        <v>13.353333473205566</v>
      </c>
      <c r="L12" s="63">
        <v>-6.5352952745996742E-2</v>
      </c>
      <c r="M12" s="31">
        <v>1</v>
      </c>
      <c r="N12" s="55"/>
      <c r="O12" s="95">
        <f t="shared" si="0"/>
        <v>-0.20174689812549762</v>
      </c>
    </row>
    <row r="13" spans="1:44" ht="16" thickBot="1">
      <c r="A13" s="25">
        <v>10</v>
      </c>
      <c r="B13" s="64">
        <v>15.146666844685873</v>
      </c>
      <c r="C13" s="64">
        <v>15.873333295186361</v>
      </c>
      <c r="D13" s="68">
        <v>16.489999771118164</v>
      </c>
      <c r="E13" s="63">
        <v>-2.7964888588686166E-2</v>
      </c>
      <c r="F13" s="31">
        <v>1</v>
      </c>
      <c r="G13" s="55"/>
      <c r="H13" s="25">
        <v>10</v>
      </c>
      <c r="I13" s="64">
        <v>11.973333358764648</v>
      </c>
      <c r="J13" s="64">
        <v>12.423333485921225</v>
      </c>
      <c r="K13" s="68">
        <v>13.5</v>
      </c>
      <c r="L13" s="63">
        <v>-7.0341723225016722E-2</v>
      </c>
      <c r="M13" s="31">
        <v>1</v>
      </c>
      <c r="N13" s="55"/>
      <c r="O13" s="95">
        <f t="shared" si="0"/>
        <v>-0.21734564159320968</v>
      </c>
    </row>
    <row r="14" spans="1:44" ht="16" thickBot="1">
      <c r="A14" s="25">
        <v>20</v>
      </c>
      <c r="B14" s="64">
        <v>15.133333206176758</v>
      </c>
      <c r="C14" s="64">
        <v>15.676666895548502</v>
      </c>
      <c r="D14" s="68">
        <v>16.209999720255535</v>
      </c>
      <c r="E14" s="63">
        <v>-4.0008146430491859E-2</v>
      </c>
      <c r="F14" s="31">
        <v>1</v>
      </c>
      <c r="G14" s="55"/>
      <c r="H14" s="25">
        <v>20</v>
      </c>
      <c r="I14" s="64">
        <v>11.733333269755045</v>
      </c>
      <c r="J14" s="64">
        <v>12.266666412353516</v>
      </c>
      <c r="K14" s="68">
        <v>13.476666768391928</v>
      </c>
      <c r="L14" s="63">
        <v>-8.2065375480298325E-2</v>
      </c>
      <c r="M14" s="31">
        <v>1</v>
      </c>
      <c r="N14" s="55"/>
      <c r="O14" s="95">
        <f t="shared" si="0"/>
        <v>-0.21752075909473331</v>
      </c>
    </row>
    <row r="15" spans="1:44" ht="16" thickBot="1">
      <c r="A15" s="25">
        <v>50</v>
      </c>
      <c r="B15" s="64">
        <v>15.136666615804037</v>
      </c>
      <c r="C15" s="64">
        <v>15.800000190734863</v>
      </c>
      <c r="D15" s="68">
        <v>16.71000035603841</v>
      </c>
      <c r="E15" s="63">
        <v>-3.2455586983916485E-2</v>
      </c>
      <c r="F15" s="31">
        <v>1</v>
      </c>
      <c r="G15" s="55"/>
      <c r="H15" s="25">
        <v>50</v>
      </c>
      <c r="I15" s="64">
        <v>11.630000114440918</v>
      </c>
      <c r="J15" s="64">
        <v>12.299999872843424</v>
      </c>
      <c r="K15" s="68">
        <v>14.219999631245932</v>
      </c>
      <c r="L15" s="63">
        <v>-7.9570978346621343E-2</v>
      </c>
      <c r="M15" s="31">
        <v>1</v>
      </c>
      <c r="N15" s="55"/>
      <c r="O15" s="95">
        <f t="shared" si="0"/>
        <v>-0.22151900478734446</v>
      </c>
    </row>
    <row r="16" spans="1:44" ht="16.25" customHeight="1" thickBot="1">
      <c r="A16" s="32">
        <v>100</v>
      </c>
      <c r="B16" s="64">
        <v>14.863333384195963</v>
      </c>
      <c r="C16" s="64">
        <v>15.716666857401529</v>
      </c>
      <c r="D16" s="68">
        <v>16.709999720255535</v>
      </c>
      <c r="E16" s="63">
        <v>-3.7558669269444234E-2</v>
      </c>
      <c r="F16" s="36">
        <v>1</v>
      </c>
      <c r="G16" s="55"/>
      <c r="H16" s="32">
        <v>100</v>
      </c>
      <c r="I16" s="64">
        <v>11.65333334604899</v>
      </c>
      <c r="J16" s="64">
        <v>12.316666603088379</v>
      </c>
      <c r="K16" s="68">
        <v>14.426666577657064</v>
      </c>
      <c r="L16" s="63">
        <v>-7.832377977978279E-2</v>
      </c>
      <c r="M16" s="36">
        <v>1</v>
      </c>
      <c r="N16" s="55"/>
      <c r="O16" s="95">
        <f t="shared" si="0"/>
        <v>-0.21633087251652033</v>
      </c>
    </row>
    <row r="17" spans="1:44" s="47" customFormat="1">
      <c r="A17" s="37"/>
      <c r="B17" s="37"/>
      <c r="C17" s="37"/>
      <c r="D17" s="38"/>
      <c r="E17" s="38"/>
      <c r="F17" s="39"/>
      <c r="G17"/>
      <c r="H17" s="37"/>
      <c r="I17" s="37"/>
      <c r="J17" s="37"/>
      <c r="K17" s="38"/>
      <c r="L17" s="38"/>
      <c r="M17" s="39"/>
      <c r="N17"/>
      <c r="O17" s="8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 ht="15" thickBot="1">
      <c r="A18" s="2"/>
      <c r="B18" s="2"/>
      <c r="C18" s="2"/>
      <c r="D18" s="2"/>
      <c r="E18" s="2"/>
      <c r="F18" s="2"/>
      <c r="H18" s="2"/>
      <c r="I18" s="2"/>
      <c r="J18" s="2"/>
      <c r="K18" s="2"/>
      <c r="L18" s="2"/>
      <c r="M18" s="2"/>
      <c r="O18" s="87"/>
    </row>
    <row r="19" spans="1:44" ht="50" customHeight="1" thickBot="1">
      <c r="A19" s="70" t="s">
        <v>22</v>
      </c>
      <c r="B19" s="71"/>
      <c r="C19" s="71"/>
      <c r="D19" s="71"/>
      <c r="E19" s="71"/>
      <c r="F19" s="71"/>
      <c r="G19" s="72"/>
      <c r="H19" s="70" t="s">
        <v>22</v>
      </c>
      <c r="I19" s="71"/>
      <c r="J19" s="71"/>
      <c r="K19" s="71"/>
      <c r="L19" s="71"/>
      <c r="M19" s="71"/>
      <c r="N19" s="72"/>
      <c r="O19" s="87"/>
    </row>
    <row r="20" spans="1:44" ht="26">
      <c r="A20" s="44" t="s">
        <v>14</v>
      </c>
      <c r="B20" s="45" t="s">
        <v>2</v>
      </c>
      <c r="C20" s="45" t="s">
        <v>0</v>
      </c>
      <c r="D20" s="45" t="s">
        <v>1</v>
      </c>
      <c r="E20" s="45" t="s">
        <v>16</v>
      </c>
      <c r="F20" s="46" t="s">
        <v>17</v>
      </c>
      <c r="G20" s="47"/>
      <c r="H20" s="44" t="s">
        <v>14</v>
      </c>
      <c r="I20" s="45" t="s">
        <v>2</v>
      </c>
      <c r="J20" s="45" t="s">
        <v>0</v>
      </c>
      <c r="K20" s="45" t="s">
        <v>1</v>
      </c>
      <c r="L20" s="45" t="s">
        <v>16</v>
      </c>
      <c r="M20" s="46" t="s">
        <v>17</v>
      </c>
      <c r="N20" s="47"/>
      <c r="O20" s="88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</row>
    <row r="21" spans="1:44" ht="15.5">
      <c r="A21" s="25">
        <v>1</v>
      </c>
      <c r="B21" s="26">
        <v>16.353333155314129</v>
      </c>
      <c r="C21" s="27">
        <v>16.353333155314129</v>
      </c>
      <c r="D21" s="28">
        <v>16.353333155314129</v>
      </c>
      <c r="E21" s="29" t="s">
        <v>18</v>
      </c>
      <c r="F21" s="30">
        <v>1</v>
      </c>
      <c r="H21" s="25">
        <v>1</v>
      </c>
      <c r="I21" s="26">
        <v>15.163333257039389</v>
      </c>
      <c r="J21" s="27">
        <v>15.163333257039389</v>
      </c>
      <c r="K21" s="28">
        <v>15.163333257039389</v>
      </c>
      <c r="L21" s="29" t="s">
        <v>18</v>
      </c>
      <c r="M21" s="30">
        <v>1</v>
      </c>
      <c r="O21" s="89">
        <f t="shared" ref="O21:O26" si="1">(J21-C21)/C21</f>
        <v>-7.2768033707430554E-2</v>
      </c>
    </row>
    <row r="22" spans="1:44" ht="15.5">
      <c r="A22" s="25">
        <v>5</v>
      </c>
      <c r="B22" s="26">
        <v>16.833333333333332</v>
      </c>
      <c r="C22" s="27">
        <v>17.906666437784832</v>
      </c>
      <c r="D22" s="28">
        <v>18.666666666666668</v>
      </c>
      <c r="E22" s="53">
        <v>9.4985729680798242E-2</v>
      </c>
      <c r="F22" s="30">
        <v>1</v>
      </c>
      <c r="H22" s="25">
        <v>5</v>
      </c>
      <c r="I22" s="26">
        <v>13.946666717529297</v>
      </c>
      <c r="J22" s="27">
        <v>15.283333142598471</v>
      </c>
      <c r="K22" s="28">
        <v>15.980000178019205</v>
      </c>
      <c r="L22" s="53">
        <v>7.9138197073769113E-3</v>
      </c>
      <c r="M22" s="30">
        <v>1</v>
      </c>
      <c r="O22" s="89">
        <f t="shared" si="1"/>
        <v>-0.14650037204305483</v>
      </c>
    </row>
    <row r="23" spans="1:44" ht="15.5">
      <c r="A23" s="25">
        <v>10</v>
      </c>
      <c r="B23" s="26">
        <v>16.623333613077801</v>
      </c>
      <c r="C23" s="27">
        <v>17.749999364217121</v>
      </c>
      <c r="D23" s="28">
        <v>18.623333613077801</v>
      </c>
      <c r="E23" s="53">
        <v>8.5405598702007493E-2</v>
      </c>
      <c r="F23" s="30">
        <v>1</v>
      </c>
      <c r="H23" s="25">
        <v>10</v>
      </c>
      <c r="I23" s="26">
        <v>13.793333371480307</v>
      </c>
      <c r="J23" s="27">
        <v>15.123333295186361</v>
      </c>
      <c r="K23" s="28">
        <v>15.696666399637857</v>
      </c>
      <c r="L23" s="53">
        <v>-2.6379399024589701E-3</v>
      </c>
      <c r="M23" s="30">
        <v>1</v>
      </c>
      <c r="O23" s="89">
        <f t="shared" si="1"/>
        <v>-0.14798119228815032</v>
      </c>
    </row>
    <row r="24" spans="1:44" ht="15.5">
      <c r="A24" s="25">
        <v>20</v>
      </c>
      <c r="B24" s="26">
        <v>15.499999682108561</v>
      </c>
      <c r="C24" s="27">
        <v>16.563333193461101</v>
      </c>
      <c r="D24" s="28">
        <v>17.496666590372723</v>
      </c>
      <c r="E24" s="53">
        <v>1.2841421143476899E-2</v>
      </c>
      <c r="F24" s="30">
        <v>1</v>
      </c>
      <c r="H24" s="25">
        <v>20</v>
      </c>
      <c r="I24" s="26">
        <v>12.553333600362143</v>
      </c>
      <c r="J24" s="27">
        <v>13.126666704813639</v>
      </c>
      <c r="K24" s="28">
        <v>14.673333485921225</v>
      </c>
      <c r="L24" s="53">
        <v>-0.13431522724597858</v>
      </c>
      <c r="M24" s="30">
        <v>1</v>
      </c>
      <c r="O24" s="95">
        <f t="shared" si="1"/>
        <v>-0.20748640678219257</v>
      </c>
    </row>
    <row r="25" spans="1:44" ht="15.5">
      <c r="A25" s="25">
        <v>50</v>
      </c>
      <c r="B25" s="26">
        <v>15.790000279744467</v>
      </c>
      <c r="C25" s="27">
        <v>17.566666285196941</v>
      </c>
      <c r="D25" s="28">
        <v>18.196666717529297</v>
      </c>
      <c r="E25" s="53">
        <v>7.4194851799281758E-2</v>
      </c>
      <c r="F25" s="30">
        <v>1</v>
      </c>
      <c r="H25" s="25">
        <v>50</v>
      </c>
      <c r="I25" s="26">
        <v>13.426666577657064</v>
      </c>
      <c r="J25" s="27">
        <v>15.59666633605957</v>
      </c>
      <c r="K25" s="28">
        <v>25.59666633605957</v>
      </c>
      <c r="L25" s="53">
        <v>2.857769275888019E-2</v>
      </c>
      <c r="M25" s="30">
        <v>1</v>
      </c>
      <c r="O25" s="89">
        <f t="shared" si="1"/>
        <v>-0.11214421206358592</v>
      </c>
    </row>
    <row r="26" spans="1:44" ht="16.25" customHeight="1" thickBot="1">
      <c r="A26" s="32">
        <v>100</v>
      </c>
      <c r="B26" s="33">
        <v>14.726666450500488</v>
      </c>
      <c r="C26" s="34">
        <v>15.289999961853027</v>
      </c>
      <c r="D26" s="43">
        <v>16.956666310628254</v>
      </c>
      <c r="E26" s="51">
        <v>-6.5022413679352214E-2</v>
      </c>
      <c r="F26" s="42">
        <v>1</v>
      </c>
      <c r="H26" s="32">
        <v>100</v>
      </c>
      <c r="I26" s="33">
        <v>13.033333460489908</v>
      </c>
      <c r="J26" s="34">
        <v>13.800000190734863</v>
      </c>
      <c r="K26" s="43">
        <v>15.546666781107584</v>
      </c>
      <c r="L26" s="51">
        <v>-8.9909853143378946E-2</v>
      </c>
      <c r="M26" s="42">
        <v>1</v>
      </c>
      <c r="O26" s="89">
        <f t="shared" si="1"/>
        <v>-9.7449298550396329E-2</v>
      </c>
    </row>
    <row r="27" spans="1:44" s="47" customFormat="1">
      <c r="A27" s="2"/>
      <c r="B27" s="2"/>
      <c r="C27" s="2"/>
      <c r="D27" s="2"/>
      <c r="E27" s="2"/>
      <c r="F27" s="2"/>
      <c r="G27"/>
      <c r="H27" s="2"/>
      <c r="I27" s="2"/>
      <c r="J27" s="2"/>
      <c r="K27" s="2"/>
      <c r="L27" s="2"/>
      <c r="M27" s="2"/>
      <c r="N27"/>
      <c r="O27" s="8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ht="15" thickBot="1">
      <c r="A28" s="2"/>
      <c r="B28" s="2"/>
      <c r="C28" s="2"/>
      <c r="D28" s="2"/>
      <c r="E28" s="2"/>
      <c r="F28" s="2"/>
      <c r="H28" s="2"/>
      <c r="I28" s="2"/>
      <c r="J28" s="2"/>
      <c r="K28" s="2"/>
      <c r="L28" s="2"/>
      <c r="M28" s="2"/>
      <c r="O28" s="87"/>
    </row>
    <row r="29" spans="1:44" ht="50" customHeight="1" thickBot="1">
      <c r="A29" s="70" t="s">
        <v>23</v>
      </c>
      <c r="B29" s="71"/>
      <c r="C29" s="71"/>
      <c r="D29" s="71"/>
      <c r="E29" s="71"/>
      <c r="F29" s="71"/>
      <c r="G29" s="72"/>
      <c r="H29" s="70" t="s">
        <v>23</v>
      </c>
      <c r="I29" s="71"/>
      <c r="J29" s="71"/>
      <c r="K29" s="71"/>
      <c r="L29" s="71"/>
      <c r="M29" s="71"/>
      <c r="N29" s="72"/>
      <c r="O29" s="87"/>
    </row>
    <row r="30" spans="1:44" ht="26.5" thickBot="1">
      <c r="A30" s="44" t="s">
        <v>14</v>
      </c>
      <c r="B30" s="45" t="s">
        <v>2</v>
      </c>
      <c r="C30" s="45" t="s">
        <v>0</v>
      </c>
      <c r="D30" s="45" t="s">
        <v>1</v>
      </c>
      <c r="E30" s="45" t="s">
        <v>16</v>
      </c>
      <c r="F30" s="46" t="s">
        <v>17</v>
      </c>
      <c r="G30" s="47"/>
      <c r="H30" s="44" t="s">
        <v>14</v>
      </c>
      <c r="I30" s="45" t="s">
        <v>2</v>
      </c>
      <c r="J30" s="45" t="s">
        <v>0</v>
      </c>
      <c r="K30" s="45" t="s">
        <v>1</v>
      </c>
      <c r="L30" s="45" t="s">
        <v>16</v>
      </c>
      <c r="M30" s="46" t="s">
        <v>17</v>
      </c>
      <c r="N30" s="47"/>
      <c r="O30" s="88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</row>
    <row r="31" spans="1:44" ht="16" thickBot="1">
      <c r="A31" s="25">
        <v>1</v>
      </c>
      <c r="B31" s="64">
        <v>10.196666717529297</v>
      </c>
      <c r="C31" s="64">
        <v>10.196666717529297</v>
      </c>
      <c r="D31" s="68">
        <v>10.196666717529297</v>
      </c>
      <c r="E31" s="65" t="s">
        <v>18</v>
      </c>
      <c r="F31" s="42">
        <v>1</v>
      </c>
      <c r="H31" s="25">
        <v>1</v>
      </c>
      <c r="I31" s="64">
        <v>9.896666844685873</v>
      </c>
      <c r="J31" s="64">
        <v>9.896666844685873</v>
      </c>
      <c r="K31" s="68">
        <v>9.896666844685873</v>
      </c>
      <c r="L31" s="65" t="s">
        <v>18</v>
      </c>
      <c r="M31" s="42">
        <v>1</v>
      </c>
      <c r="O31" s="89">
        <f t="shared" ref="O31:O36" si="2">(J31-C31)/C31</f>
        <v>-2.9421366918631165E-2</v>
      </c>
    </row>
    <row r="32" spans="1:44" ht="16" thickBot="1">
      <c r="A32" s="25">
        <v>5</v>
      </c>
      <c r="B32" s="64">
        <v>11.176666577657064</v>
      </c>
      <c r="C32" s="64">
        <v>11.760000228881836</v>
      </c>
      <c r="D32" s="68">
        <v>12.293333053588867</v>
      </c>
      <c r="E32" s="63">
        <v>0.15331809449699682</v>
      </c>
      <c r="F32" s="42">
        <v>1</v>
      </c>
      <c r="H32" s="25">
        <v>5</v>
      </c>
      <c r="I32" s="64">
        <v>9.9599997202555333</v>
      </c>
      <c r="J32" s="64">
        <v>10.289999961853027</v>
      </c>
      <c r="K32" s="68">
        <v>10.610000292460123</v>
      </c>
      <c r="L32" s="63">
        <v>3.9743998998850713E-2</v>
      </c>
      <c r="M32" s="42">
        <v>1</v>
      </c>
      <c r="O32" s="89">
        <f t="shared" si="2"/>
        <v>-0.12500002027368831</v>
      </c>
    </row>
    <row r="33" spans="1:44" ht="16" thickBot="1">
      <c r="A33" s="25">
        <v>10</v>
      </c>
      <c r="B33" s="64">
        <v>11.196666717529297</v>
      </c>
      <c r="C33" s="64">
        <v>12.196666717529297</v>
      </c>
      <c r="D33" s="69">
        <v>13.013333320617676</v>
      </c>
      <c r="E33" s="67">
        <v>0.19614252926024928</v>
      </c>
      <c r="F33" s="42">
        <v>1</v>
      </c>
      <c r="H33" s="25">
        <v>10</v>
      </c>
      <c r="I33" s="64">
        <v>9.7699998219807949</v>
      </c>
      <c r="J33" s="64">
        <v>10.483333269755045</v>
      </c>
      <c r="K33" s="69">
        <v>11.250000317891439</v>
      </c>
      <c r="L33" s="67">
        <v>5.927919311380974E-2</v>
      </c>
      <c r="M33" s="42">
        <v>1</v>
      </c>
      <c r="O33" s="89">
        <f t="shared" si="2"/>
        <v>-0.14047554856211775</v>
      </c>
    </row>
    <row r="34" spans="1:44" ht="16" thickBot="1">
      <c r="A34" s="25">
        <v>20</v>
      </c>
      <c r="B34" s="64">
        <v>10.529999732971191</v>
      </c>
      <c r="C34" s="64">
        <v>11.113333066304525</v>
      </c>
      <c r="D34" s="69">
        <v>11.763333638509115</v>
      </c>
      <c r="E34" s="63">
        <v>8.9898628068265554E-2</v>
      </c>
      <c r="F34" s="42">
        <v>1</v>
      </c>
      <c r="H34" s="25">
        <v>20</v>
      </c>
      <c r="I34" s="64">
        <v>8.5066665013631191</v>
      </c>
      <c r="J34" s="64">
        <v>9.5700000127156581</v>
      </c>
      <c r="K34" s="69">
        <v>10.329999923706055</v>
      </c>
      <c r="L34" s="63">
        <v>-3.3007762825281152E-2</v>
      </c>
      <c r="M34" s="42">
        <v>1</v>
      </c>
      <c r="O34" s="89">
        <f t="shared" si="2"/>
        <v>-0.13887220371971321</v>
      </c>
    </row>
    <row r="35" spans="1:44" ht="16" thickBot="1">
      <c r="A35" s="25">
        <v>50</v>
      </c>
      <c r="B35" s="64">
        <v>11.763333320617676</v>
      </c>
      <c r="C35" s="64">
        <v>16.143333435058594</v>
      </c>
      <c r="D35" s="69">
        <v>18.269999821980793</v>
      </c>
      <c r="E35" s="67">
        <v>0.58319712532197032</v>
      </c>
      <c r="F35" s="42">
        <v>1</v>
      </c>
      <c r="H35" s="25">
        <v>50</v>
      </c>
      <c r="I35" s="64">
        <v>10.323333104451498</v>
      </c>
      <c r="J35" s="64">
        <v>13.219999949137369</v>
      </c>
      <c r="K35" s="69">
        <v>14.859999974568685</v>
      </c>
      <c r="L35" s="67">
        <v>0.33580327160714696</v>
      </c>
      <c r="M35" s="42">
        <v>1</v>
      </c>
      <c r="O35" s="89">
        <f t="shared" si="2"/>
        <v>-0.18108611196573565</v>
      </c>
    </row>
    <row r="36" spans="1:44" ht="16.25" customHeight="1" thickBot="1">
      <c r="A36" s="32">
        <v>100</v>
      </c>
      <c r="B36" s="64">
        <v>10.589999834696451</v>
      </c>
      <c r="C36" s="64">
        <v>11.223333358764648</v>
      </c>
      <c r="D36" s="69">
        <v>12.049999872843424</v>
      </c>
      <c r="E36" s="66">
        <v>0.10068649585951339</v>
      </c>
      <c r="F36" s="42">
        <v>1</v>
      </c>
      <c r="H36" s="32">
        <v>100</v>
      </c>
      <c r="I36" s="64">
        <v>7.8066666920979815</v>
      </c>
      <c r="J36" s="64">
        <v>8.8333333333333339</v>
      </c>
      <c r="K36" s="69">
        <v>9.953333218892416</v>
      </c>
      <c r="L36" s="66">
        <v>-0.10744359975333594</v>
      </c>
      <c r="M36" s="42">
        <v>1</v>
      </c>
      <c r="O36" s="95">
        <f t="shared" si="2"/>
        <v>-0.2129492147326168</v>
      </c>
    </row>
    <row r="37" spans="1:44" s="47" customFormat="1">
      <c r="A37" s="2"/>
      <c r="B37" s="2"/>
      <c r="C37" s="2"/>
      <c r="D37" s="2"/>
      <c r="E37" s="2"/>
      <c r="F37" s="2"/>
      <c r="G37"/>
      <c r="H37" s="2"/>
      <c r="I37" s="2"/>
      <c r="J37" s="2"/>
      <c r="K37" s="2"/>
      <c r="L37" s="2"/>
      <c r="M37" s="2"/>
      <c r="N37"/>
      <c r="O37" s="8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ht="15" thickBot="1">
      <c r="A38" s="2"/>
      <c r="B38" s="2"/>
      <c r="C38" s="2"/>
      <c r="D38" s="2"/>
      <c r="E38" s="2"/>
      <c r="F38" s="2"/>
      <c r="H38" s="2"/>
      <c r="I38" s="2"/>
      <c r="J38" s="2"/>
      <c r="K38" s="2"/>
      <c r="L38" s="2"/>
      <c r="M38" s="2"/>
      <c r="O38" s="87"/>
    </row>
    <row r="39" spans="1:44" ht="46.25" customHeight="1" thickBot="1">
      <c r="A39" s="70" t="s">
        <v>24</v>
      </c>
      <c r="B39" s="71"/>
      <c r="C39" s="71"/>
      <c r="D39" s="71"/>
      <c r="E39" s="71"/>
      <c r="F39" s="71"/>
      <c r="G39" s="72"/>
      <c r="H39" s="70" t="s">
        <v>24</v>
      </c>
      <c r="I39" s="71"/>
      <c r="J39" s="71"/>
      <c r="K39" s="71"/>
      <c r="L39" s="71"/>
      <c r="M39" s="71"/>
      <c r="N39" s="72"/>
      <c r="O39" s="90"/>
    </row>
    <row r="40" spans="1:44" ht="26">
      <c r="A40" s="48" t="s">
        <v>14</v>
      </c>
      <c r="B40" s="49" t="s">
        <v>15</v>
      </c>
      <c r="C40" s="49" t="s">
        <v>0</v>
      </c>
      <c r="D40" s="49" t="s">
        <v>1</v>
      </c>
      <c r="E40" s="49" t="s">
        <v>16</v>
      </c>
      <c r="F40" s="50" t="s">
        <v>17</v>
      </c>
      <c r="G40" s="56"/>
      <c r="H40" s="48" t="s">
        <v>14</v>
      </c>
      <c r="I40" s="49" t="s">
        <v>15</v>
      </c>
      <c r="J40" s="49" t="s">
        <v>0</v>
      </c>
      <c r="K40" s="49" t="s">
        <v>1</v>
      </c>
      <c r="L40" s="49" t="s">
        <v>16</v>
      </c>
      <c r="M40" s="50" t="s">
        <v>17</v>
      </c>
      <c r="N40" s="56"/>
      <c r="O40" s="91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</row>
    <row r="41" spans="1:44" ht="16" thickBot="1">
      <c r="A41" s="25">
        <v>1</v>
      </c>
      <c r="B41" s="26">
        <v>10.15666675567627</v>
      </c>
      <c r="C41" s="27">
        <v>10.15666675567627</v>
      </c>
      <c r="D41" s="28">
        <v>10.15666675567627</v>
      </c>
      <c r="E41" s="29" t="s">
        <v>18</v>
      </c>
      <c r="F41" s="42">
        <v>1</v>
      </c>
      <c r="G41" s="57"/>
      <c r="H41" s="25">
        <v>1</v>
      </c>
      <c r="I41" s="26">
        <v>9.8499997456868496</v>
      </c>
      <c r="J41" s="27">
        <v>9.8499997456868496</v>
      </c>
      <c r="K41" s="28">
        <v>9.8499997456868496</v>
      </c>
      <c r="L41" s="29" t="s">
        <v>18</v>
      </c>
      <c r="M41" s="42">
        <v>1</v>
      </c>
      <c r="N41" s="57"/>
      <c r="O41" s="92">
        <f t="shared" ref="O41:O46" si="3">(J41-C41)/C41</f>
        <v>-3.019366661981231E-2</v>
      </c>
    </row>
    <row r="42" spans="1:44" ht="16" thickBot="1">
      <c r="A42" s="25">
        <v>5</v>
      </c>
      <c r="B42" s="26">
        <v>9.8366664250691738</v>
      </c>
      <c r="C42" s="27">
        <v>10.060000419616699</v>
      </c>
      <c r="D42" s="28">
        <v>10.533333460489908</v>
      </c>
      <c r="E42" s="53">
        <v>-9.5175256198640444E-3</v>
      </c>
      <c r="F42" s="42">
        <v>1</v>
      </c>
      <c r="G42" s="57"/>
      <c r="H42" s="25">
        <v>5</v>
      </c>
      <c r="I42" s="26">
        <v>8.6666666666666661</v>
      </c>
      <c r="J42" s="27">
        <v>9.3900003433227539</v>
      </c>
      <c r="K42" s="28">
        <v>9.9733336766560878</v>
      </c>
      <c r="L42" s="53">
        <v>-4.6700448146257234E-2</v>
      </c>
      <c r="M42" s="42">
        <v>1</v>
      </c>
      <c r="N42" s="57"/>
      <c r="O42" s="92">
        <f t="shared" si="3"/>
        <v>-6.6600402420209176E-2</v>
      </c>
    </row>
    <row r="43" spans="1:44" ht="16" thickBot="1">
      <c r="A43" s="25">
        <v>10</v>
      </c>
      <c r="B43" s="26">
        <v>9.7533330917358398</v>
      </c>
      <c r="C43" s="27">
        <v>10.09333324432373</v>
      </c>
      <c r="D43" s="28">
        <v>10.443333625793457</v>
      </c>
      <c r="E43" s="53">
        <v>-6.2356590873815744E-3</v>
      </c>
      <c r="F43" s="42">
        <v>1</v>
      </c>
      <c r="G43" s="57"/>
      <c r="H43" s="25">
        <v>10</v>
      </c>
      <c r="I43" s="26">
        <v>8.646666844685873</v>
      </c>
      <c r="J43" s="27">
        <v>9.1933333079020176</v>
      </c>
      <c r="K43" s="28">
        <v>10.033333142598471</v>
      </c>
      <c r="L43" s="53">
        <v>-6.6666645151171211E-2</v>
      </c>
      <c r="M43" s="42">
        <v>1</v>
      </c>
      <c r="N43" s="57"/>
      <c r="O43" s="92">
        <f t="shared" si="3"/>
        <v>-8.9167761990604347E-2</v>
      </c>
    </row>
    <row r="44" spans="1:44" ht="16" thickBot="1">
      <c r="A44" s="25">
        <v>20</v>
      </c>
      <c r="B44" s="26">
        <v>9.7700001398722325</v>
      </c>
      <c r="C44" s="27">
        <v>10.123333295186361</v>
      </c>
      <c r="D44" s="28">
        <v>10.586666742960611</v>
      </c>
      <c r="E44" s="53">
        <v>-3.2819291300740126E-3</v>
      </c>
      <c r="F44" s="42">
        <v>1</v>
      </c>
      <c r="G44" s="57"/>
      <c r="H44" s="25">
        <v>20</v>
      </c>
      <c r="I44" s="26">
        <v>8.443333625793457</v>
      </c>
      <c r="J44" s="27">
        <v>9.1133333841959629</v>
      </c>
      <c r="K44" s="28">
        <v>10.296666781107584</v>
      </c>
      <c r="L44" s="53">
        <v>-7.478846502645449E-2</v>
      </c>
      <c r="M44" s="42">
        <v>1</v>
      </c>
      <c r="N44" s="57"/>
      <c r="O44" s="92">
        <f t="shared" si="3"/>
        <v>-9.9769500967695365E-2</v>
      </c>
    </row>
    <row r="45" spans="1:44" ht="16" thickBot="1">
      <c r="A45" s="25">
        <v>50</v>
      </c>
      <c r="B45" s="26">
        <v>9.7166665395100917</v>
      </c>
      <c r="C45" s="27">
        <v>10.166666666666666</v>
      </c>
      <c r="D45" s="28">
        <v>10.700000127156576</v>
      </c>
      <c r="E45" s="53">
        <v>9.8456621950384271E-4</v>
      </c>
      <c r="F45" s="42">
        <v>1</v>
      </c>
      <c r="G45" s="57"/>
      <c r="H45" s="25">
        <v>50</v>
      </c>
      <c r="I45" s="26">
        <v>8.2833334604899083</v>
      </c>
      <c r="J45" s="27">
        <v>9.1133333841959629</v>
      </c>
      <c r="K45" s="28">
        <v>10.49666690826416</v>
      </c>
      <c r="L45" s="53">
        <v>-7.478846502645449E-2</v>
      </c>
      <c r="M45" s="42">
        <v>1</v>
      </c>
      <c r="N45" s="57"/>
      <c r="O45" s="92">
        <f t="shared" si="3"/>
        <v>-0.10360655237416752</v>
      </c>
    </row>
    <row r="46" spans="1:44" ht="16" thickBot="1">
      <c r="A46" s="32">
        <v>100</v>
      </c>
      <c r="B46" s="33">
        <v>9.7566665013631191</v>
      </c>
      <c r="C46" s="34">
        <v>10.206666628519693</v>
      </c>
      <c r="D46" s="43">
        <v>10.936666488647461</v>
      </c>
      <c r="E46" s="51">
        <v>4.9228623963152472E-3</v>
      </c>
      <c r="F46" s="42">
        <v>1</v>
      </c>
      <c r="G46" s="58"/>
      <c r="H46" s="32">
        <v>100</v>
      </c>
      <c r="I46" s="33">
        <v>8.3766667048136387</v>
      </c>
      <c r="J46" s="34">
        <v>9.0900001525878906</v>
      </c>
      <c r="K46" s="43">
        <v>10.613333384195963</v>
      </c>
      <c r="L46" s="51">
        <v>-7.7157321088434552E-2</v>
      </c>
      <c r="M46" s="42">
        <v>1</v>
      </c>
      <c r="N46" s="58"/>
      <c r="O46" s="92">
        <f t="shared" si="3"/>
        <v>-0.10940559896524774</v>
      </c>
    </row>
    <row r="47" spans="1:44" s="47" customFormat="1">
      <c r="A47" s="2"/>
      <c r="B47" s="2"/>
      <c r="C47" s="2"/>
      <c r="D47" s="2"/>
      <c r="E47" s="2"/>
      <c r="F47" s="2"/>
      <c r="G47"/>
      <c r="H47" s="2"/>
      <c r="I47" s="2"/>
      <c r="J47" s="2"/>
      <c r="K47" s="2"/>
      <c r="L47" s="2"/>
      <c r="M47" s="2"/>
      <c r="N47"/>
      <c r="O47" s="8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 ht="15" thickBot="1">
      <c r="A48" s="2"/>
      <c r="B48" s="2"/>
      <c r="C48" s="2"/>
      <c r="D48" s="2"/>
      <c r="E48" s="2"/>
      <c r="F48" s="2"/>
      <c r="H48" s="2"/>
      <c r="I48" s="2"/>
      <c r="J48" s="2"/>
      <c r="K48" s="2"/>
      <c r="L48" s="2"/>
      <c r="M48" s="2"/>
      <c r="O48" s="87"/>
    </row>
    <row r="49" spans="1:44" ht="37.25" customHeight="1" thickBot="1">
      <c r="A49" s="75" t="s">
        <v>25</v>
      </c>
      <c r="B49" s="76"/>
      <c r="C49" s="76"/>
      <c r="D49" s="76"/>
      <c r="E49" s="76"/>
      <c r="F49" s="77"/>
      <c r="H49" s="75" t="s">
        <v>25</v>
      </c>
      <c r="I49" s="76"/>
      <c r="J49" s="76"/>
      <c r="K49" s="76"/>
      <c r="L49" s="76"/>
      <c r="M49" s="77"/>
      <c r="O49" s="87"/>
    </row>
    <row r="50" spans="1:44" ht="26">
      <c r="A50" s="48" t="s">
        <v>14</v>
      </c>
      <c r="B50" s="49" t="s">
        <v>15</v>
      </c>
      <c r="C50" s="49" t="s">
        <v>0</v>
      </c>
      <c r="D50" s="49" t="s">
        <v>1</v>
      </c>
      <c r="E50" s="49" t="s">
        <v>16</v>
      </c>
      <c r="F50" s="50" t="s">
        <v>17</v>
      </c>
      <c r="G50" s="47"/>
      <c r="H50" s="48" t="s">
        <v>14</v>
      </c>
      <c r="I50" s="49" t="s">
        <v>15</v>
      </c>
      <c r="J50" s="49" t="s">
        <v>0</v>
      </c>
      <c r="K50" s="49" t="s">
        <v>1</v>
      </c>
      <c r="L50" s="49" t="s">
        <v>16</v>
      </c>
      <c r="M50" s="50" t="s">
        <v>17</v>
      </c>
      <c r="N50" s="47"/>
      <c r="O50" s="88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</row>
    <row r="51" spans="1:44" ht="16" thickBot="1">
      <c r="A51" s="25">
        <v>1</v>
      </c>
      <c r="B51" s="26">
        <v>10.679999987284342</v>
      </c>
      <c r="C51" s="27">
        <v>10.679999987284342</v>
      </c>
      <c r="D51" s="28">
        <v>10.679999987284342</v>
      </c>
      <c r="E51" s="29" t="s">
        <v>18</v>
      </c>
      <c r="F51" s="42">
        <v>1</v>
      </c>
      <c r="H51" s="25">
        <v>1</v>
      </c>
      <c r="I51" s="26">
        <v>10.016666730244955</v>
      </c>
      <c r="J51" s="27">
        <v>10.016666730244955</v>
      </c>
      <c r="K51" s="28">
        <v>10.016666730244955</v>
      </c>
      <c r="L51" s="29" t="s">
        <v>18</v>
      </c>
      <c r="M51" s="42">
        <v>1</v>
      </c>
      <c r="O51" s="92">
        <f t="shared" ref="O51:O56" si="4">(J51-C51)/C51</f>
        <v>-6.2109855601980762E-2</v>
      </c>
    </row>
    <row r="52" spans="1:44" ht="16" thickBot="1">
      <c r="A52" s="25">
        <v>5</v>
      </c>
      <c r="B52" s="26">
        <v>9.8733336130777989</v>
      </c>
      <c r="C52" s="27">
        <v>10.139999707539877</v>
      </c>
      <c r="D52" s="28">
        <v>10.669999758402506</v>
      </c>
      <c r="E52" s="53">
        <v>-5.0561824006310097E-2</v>
      </c>
      <c r="F52" s="42">
        <v>1</v>
      </c>
      <c r="H52" s="25">
        <v>5</v>
      </c>
      <c r="I52" s="26">
        <v>8.3933332761128749</v>
      </c>
      <c r="J52" s="27">
        <v>9.0233332316080723</v>
      </c>
      <c r="K52" s="28">
        <v>9.8200000127156581</v>
      </c>
      <c r="L52" s="53">
        <v>-9.9168069117997998E-2</v>
      </c>
      <c r="M52" s="42">
        <v>1</v>
      </c>
      <c r="O52" s="92">
        <f t="shared" si="4"/>
        <v>-0.11012490218332811</v>
      </c>
    </row>
    <row r="53" spans="1:44" ht="16" thickBot="1">
      <c r="A53" s="25">
        <v>10</v>
      </c>
      <c r="B53" s="26">
        <v>9.5966666539510097</v>
      </c>
      <c r="C53" s="27">
        <v>9.9133332570393886</v>
      </c>
      <c r="D53" s="28">
        <v>10.626666386922201</v>
      </c>
      <c r="E53" s="53">
        <v>-7.1785274452972864E-2</v>
      </c>
      <c r="F53" s="42">
        <v>1</v>
      </c>
      <c r="H53" s="25">
        <v>10</v>
      </c>
      <c r="I53" s="26">
        <v>8.4700002670288086</v>
      </c>
      <c r="J53" s="27">
        <v>9.0200001398722325</v>
      </c>
      <c r="K53" s="28">
        <v>10.270000457763672</v>
      </c>
      <c r="L53" s="53">
        <v>-9.9500823698498886E-2</v>
      </c>
      <c r="M53" s="42">
        <v>1</v>
      </c>
      <c r="O53" s="92">
        <f t="shared" si="4"/>
        <v>-9.0114303030497486E-2</v>
      </c>
    </row>
    <row r="54" spans="1:44" ht="16" thickBot="1">
      <c r="A54" s="25">
        <v>20</v>
      </c>
      <c r="B54" s="26">
        <v>9.5066668192545567</v>
      </c>
      <c r="C54" s="27">
        <v>9.9200000762939453</v>
      </c>
      <c r="D54" s="28">
        <v>10.616666475931803</v>
      </c>
      <c r="E54" s="53">
        <v>-7.1161040439630716E-2</v>
      </c>
      <c r="F54" s="42">
        <v>1</v>
      </c>
      <c r="H54" s="25">
        <v>20</v>
      </c>
      <c r="I54" s="26">
        <v>7.9633332888285322</v>
      </c>
      <c r="J54" s="27">
        <v>8.6633332570393886</v>
      </c>
      <c r="K54" s="28">
        <v>9.7433334986368809</v>
      </c>
      <c r="L54" s="53">
        <v>-0.13510816618458774</v>
      </c>
      <c r="M54" s="42">
        <v>1</v>
      </c>
      <c r="O54" s="92">
        <f t="shared" si="4"/>
        <v>-0.12668012193443856</v>
      </c>
    </row>
    <row r="55" spans="1:44" ht="16" thickBot="1">
      <c r="A55" s="25">
        <v>50</v>
      </c>
      <c r="B55" s="26">
        <v>9.5666669209798183</v>
      </c>
      <c r="C55" s="27">
        <v>9.9200000762939453</v>
      </c>
      <c r="D55" s="28">
        <v>10.630000114440918</v>
      </c>
      <c r="E55" s="53">
        <v>-7.1161040439630716E-2</v>
      </c>
      <c r="F55" s="42">
        <v>1</v>
      </c>
      <c r="H55" s="25">
        <v>50</v>
      </c>
      <c r="I55" s="26">
        <v>7.7766666412353516</v>
      </c>
      <c r="J55" s="27">
        <v>8.5533332824707031</v>
      </c>
      <c r="K55" s="28">
        <v>10.206666946411133</v>
      </c>
      <c r="L55" s="53">
        <v>-0.14608986074736524</v>
      </c>
      <c r="M55" s="42">
        <v>1</v>
      </c>
      <c r="O55" s="92">
        <f t="shared" si="4"/>
        <v>-0.13776882896293494</v>
      </c>
    </row>
    <row r="56" spans="1:44" ht="16" thickBot="1">
      <c r="A56" s="32">
        <v>100</v>
      </c>
      <c r="B56" s="33">
        <v>9.4300003051757813</v>
      </c>
      <c r="C56" s="34">
        <v>9.9399995803833008</v>
      </c>
      <c r="D56" s="43">
        <v>11.130000114440918</v>
      </c>
      <c r="E56" s="53">
        <v>-6.9288427694952151E-2</v>
      </c>
      <c r="F56" s="42">
        <v>1</v>
      </c>
      <c r="H56" s="32">
        <v>100</v>
      </c>
      <c r="I56" s="33">
        <v>7.8600001335144043</v>
      </c>
      <c r="J56" s="34">
        <v>8.6099996566772461</v>
      </c>
      <c r="K56" s="43">
        <v>10.439999580383301</v>
      </c>
      <c r="L56" s="53">
        <v>-0.14043265204385105</v>
      </c>
      <c r="M56" s="42">
        <v>1</v>
      </c>
      <c r="O56" s="92">
        <f t="shared" si="4"/>
        <v>-0.13380281487444168</v>
      </c>
    </row>
    <row r="57" spans="1:44" s="47" customFormat="1">
      <c r="A57" s="2"/>
      <c r="B57" s="2"/>
      <c r="C57" s="2"/>
      <c r="D57" s="2"/>
      <c r="E57" s="2"/>
      <c r="F57" s="2"/>
      <c r="G57"/>
      <c r="H57" s="2"/>
      <c r="I57" s="2"/>
      <c r="J57" s="2"/>
      <c r="K57" s="2"/>
      <c r="L57" s="2"/>
      <c r="M57" s="2"/>
      <c r="N57"/>
      <c r="O57" s="8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 ht="15" thickBot="1">
      <c r="A58" s="2"/>
      <c r="B58" s="2"/>
      <c r="C58" s="2"/>
      <c r="D58" s="2"/>
      <c r="E58" s="2"/>
      <c r="F58" s="2"/>
      <c r="H58" s="2"/>
      <c r="I58" s="2"/>
      <c r="J58" s="2"/>
      <c r="K58" s="2"/>
      <c r="L58" s="2"/>
      <c r="M58" s="2"/>
      <c r="O58" s="87"/>
    </row>
    <row r="59" spans="1:44" ht="39" customHeight="1" thickBot="1">
      <c r="A59" s="70" t="s">
        <v>26</v>
      </c>
      <c r="B59" s="71"/>
      <c r="C59" s="71"/>
      <c r="D59" s="71"/>
      <c r="E59" s="71"/>
      <c r="F59" s="71"/>
      <c r="G59" s="72"/>
      <c r="H59" s="70" t="s">
        <v>26</v>
      </c>
      <c r="I59" s="71"/>
      <c r="J59" s="71"/>
      <c r="K59" s="71"/>
      <c r="L59" s="71"/>
      <c r="M59" s="71"/>
      <c r="N59" s="72"/>
      <c r="O59" s="87"/>
    </row>
    <row r="60" spans="1:44" ht="26">
      <c r="A60" s="48" t="s">
        <v>14</v>
      </c>
      <c r="B60" s="49" t="s">
        <v>15</v>
      </c>
      <c r="C60" s="49" t="s">
        <v>0</v>
      </c>
      <c r="D60" s="49" t="s">
        <v>1</v>
      </c>
      <c r="E60" s="49" t="s">
        <v>16</v>
      </c>
      <c r="F60" s="50" t="s">
        <v>17</v>
      </c>
      <c r="G60" s="47"/>
      <c r="H60" s="48" t="s">
        <v>14</v>
      </c>
      <c r="I60" s="49" t="s">
        <v>15</v>
      </c>
      <c r="J60" s="49" t="s">
        <v>0</v>
      </c>
      <c r="K60" s="49" t="s">
        <v>1</v>
      </c>
      <c r="L60" s="49" t="s">
        <v>16</v>
      </c>
      <c r="M60" s="50" t="s">
        <v>17</v>
      </c>
      <c r="N60" s="47"/>
      <c r="O60" s="88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</row>
    <row r="61" spans="1:44" ht="16" thickBot="1">
      <c r="A61" s="25">
        <v>1</v>
      </c>
      <c r="B61" s="26">
        <v>10.783333142598471</v>
      </c>
      <c r="C61" s="27">
        <v>10.783333142598471</v>
      </c>
      <c r="D61" s="28">
        <v>10.783333142598471</v>
      </c>
      <c r="E61" s="29" t="s">
        <v>18</v>
      </c>
      <c r="F61" s="42">
        <v>1</v>
      </c>
      <c r="H61" s="25">
        <v>1</v>
      </c>
      <c r="I61" s="26">
        <v>8.8000001907348633</v>
      </c>
      <c r="J61" s="27">
        <v>8.8000001907348633</v>
      </c>
      <c r="K61" s="28">
        <v>8.8000001907348633</v>
      </c>
      <c r="L61" s="29" t="s">
        <v>18</v>
      </c>
      <c r="M61" s="42">
        <v>1</v>
      </c>
      <c r="O61" s="89">
        <f t="shared" ref="O61:O66" si="5">(J61-C61)/C61</f>
        <v>-0.18392577931480669</v>
      </c>
    </row>
    <row r="62" spans="1:44" ht="16" thickBot="1">
      <c r="A62" s="25">
        <v>5</v>
      </c>
      <c r="B62" s="26">
        <v>10.276666641235352</v>
      </c>
      <c r="C62" s="27">
        <v>10.576666514078775</v>
      </c>
      <c r="D62" s="28">
        <v>11.013333320617676</v>
      </c>
      <c r="E62" s="53">
        <v>-1.916537547219788E-2</v>
      </c>
      <c r="F62" s="42">
        <v>1</v>
      </c>
      <c r="H62" s="25">
        <v>5</v>
      </c>
      <c r="I62" s="26">
        <v>8.0600001017252598</v>
      </c>
      <c r="J62" s="27">
        <v>8.4966665903727208</v>
      </c>
      <c r="K62" s="28">
        <v>9.5266663233439122</v>
      </c>
      <c r="L62" s="53">
        <v>-3.4469726566768631E-2</v>
      </c>
      <c r="M62" s="42">
        <v>1</v>
      </c>
      <c r="O62" s="89">
        <f t="shared" si="5"/>
        <v>-0.19665930857679331</v>
      </c>
    </row>
    <row r="63" spans="1:44" ht="16" thickBot="1">
      <c r="A63" s="25">
        <v>10</v>
      </c>
      <c r="B63" s="26">
        <v>11.223333358764648</v>
      </c>
      <c r="C63" s="27">
        <v>12.433333396911621</v>
      </c>
      <c r="D63" s="28">
        <v>12.90333334604899</v>
      </c>
      <c r="E63" s="40">
        <v>0.15301393664589577</v>
      </c>
      <c r="F63" s="42">
        <v>1</v>
      </c>
      <c r="H63" s="25">
        <v>10</v>
      </c>
      <c r="I63" s="26">
        <v>8.7599999109903965</v>
      </c>
      <c r="J63" s="27">
        <v>9.8666667938232422</v>
      </c>
      <c r="K63" s="28">
        <v>10.956666628519693</v>
      </c>
      <c r="L63" s="40">
        <v>0.12121211136011402</v>
      </c>
      <c r="M63" s="42">
        <v>1</v>
      </c>
      <c r="O63" s="95">
        <f t="shared" si="5"/>
        <v>-0.20643431018474306</v>
      </c>
    </row>
    <row r="64" spans="1:44" ht="16" thickBot="1">
      <c r="A64" s="25">
        <v>20</v>
      </c>
      <c r="B64" s="26">
        <v>10.420000076293945</v>
      </c>
      <c r="C64" s="27">
        <v>10.819999694824219</v>
      </c>
      <c r="D64" s="28">
        <v>11.239999771118164</v>
      </c>
      <c r="E64" s="40">
        <v>3.4002985663960047E-3</v>
      </c>
      <c r="F64" s="42">
        <v>1</v>
      </c>
      <c r="H64" s="25">
        <v>20</v>
      </c>
      <c r="I64" s="26">
        <v>8.0066666603088379</v>
      </c>
      <c r="J64" s="27">
        <v>8.5899998346964512</v>
      </c>
      <c r="K64" s="28">
        <v>9.4599997202555333</v>
      </c>
      <c r="L64" s="40">
        <v>-2.3863676305315568E-2</v>
      </c>
      <c r="M64" s="42">
        <v>1</v>
      </c>
      <c r="O64" s="95">
        <f t="shared" si="5"/>
        <v>-0.20609980804292397</v>
      </c>
    </row>
    <row r="65" spans="1:44" ht="16" thickBot="1">
      <c r="A65" s="25">
        <v>50</v>
      </c>
      <c r="B65" s="26">
        <v>10.876667022705078</v>
      </c>
      <c r="C65" s="27">
        <v>11.306666692097982</v>
      </c>
      <c r="D65" s="28">
        <v>11.910000165303549</v>
      </c>
      <c r="E65" s="40">
        <v>4.8531705603357025E-2</v>
      </c>
      <c r="F65" s="42">
        <v>1</v>
      </c>
      <c r="H65" s="25">
        <v>50</v>
      </c>
      <c r="I65" s="26">
        <v>8.426666895548502</v>
      </c>
      <c r="J65" s="27">
        <v>9.0300000508626308</v>
      </c>
      <c r="K65" s="28">
        <v>10.279999732971191</v>
      </c>
      <c r="L65" s="40">
        <v>2.6136347175301694E-2</v>
      </c>
      <c r="M65" s="42">
        <v>1</v>
      </c>
      <c r="O65" s="95">
        <f t="shared" si="5"/>
        <v>-0.20135612937334318</v>
      </c>
    </row>
    <row r="66" spans="1:44" ht="16" thickBot="1">
      <c r="A66" s="32">
        <v>100</v>
      </c>
      <c r="B66" s="33">
        <v>12.203333218892416</v>
      </c>
      <c r="C66" s="34">
        <v>12.840000152587891</v>
      </c>
      <c r="D66" s="43">
        <v>13.853333473205566</v>
      </c>
      <c r="E66" s="51">
        <v>0.19072646488725867</v>
      </c>
      <c r="F66" s="42">
        <v>1</v>
      </c>
      <c r="H66" s="32">
        <v>100</v>
      </c>
      <c r="I66" s="33">
        <v>9.4066667556762695</v>
      </c>
      <c r="J66" s="34">
        <v>10.280000368754068</v>
      </c>
      <c r="K66" s="43">
        <v>11.65666643778483</v>
      </c>
      <c r="L66" s="51">
        <v>0.16818183476603021</v>
      </c>
      <c r="M66" s="42">
        <v>1</v>
      </c>
      <c r="O66" s="89">
        <f t="shared" si="5"/>
        <v>-0.19937692783577238</v>
      </c>
    </row>
    <row r="67" spans="1:44" s="47" customFormat="1">
      <c r="A67" s="2"/>
      <c r="B67" s="2"/>
      <c r="C67" s="2"/>
      <c r="D67" s="2"/>
      <c r="E67" s="2"/>
      <c r="F67" s="2"/>
      <c r="G67"/>
      <c r="H67" s="2"/>
      <c r="I67" s="2"/>
      <c r="J67" s="2"/>
      <c r="K67" s="2"/>
      <c r="L67" s="2"/>
      <c r="M67" s="2"/>
      <c r="N67"/>
      <c r="O67" s="8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 ht="15" thickBot="1">
      <c r="A68" s="2"/>
      <c r="B68" s="2"/>
      <c r="C68" s="2"/>
      <c r="D68" s="2"/>
      <c r="E68" s="2"/>
      <c r="F68" s="2"/>
      <c r="H68" s="2"/>
      <c r="I68" s="2"/>
      <c r="J68" s="2"/>
      <c r="K68" s="2"/>
      <c r="L68" s="2"/>
      <c r="M68" s="2"/>
      <c r="O68" s="87"/>
    </row>
    <row r="69" spans="1:44" ht="48.65" customHeight="1" thickBot="1">
      <c r="A69" s="70" t="s">
        <v>27</v>
      </c>
      <c r="B69" s="71"/>
      <c r="C69" s="71"/>
      <c r="D69" s="71"/>
      <c r="E69" s="71"/>
      <c r="F69" s="71"/>
      <c r="G69" s="71"/>
      <c r="H69" s="70" t="s">
        <v>27</v>
      </c>
      <c r="I69" s="71"/>
      <c r="J69" s="71"/>
      <c r="K69" s="71"/>
      <c r="L69" s="71"/>
      <c r="M69" s="71"/>
      <c r="N69" s="71"/>
      <c r="O69" s="87"/>
    </row>
    <row r="70" spans="1:44" ht="26">
      <c r="A70" s="48" t="s">
        <v>14</v>
      </c>
      <c r="B70" s="49" t="s">
        <v>15</v>
      </c>
      <c r="C70" s="49" t="s">
        <v>0</v>
      </c>
      <c r="D70" s="49" t="s">
        <v>1</v>
      </c>
      <c r="E70" s="49" t="s">
        <v>16</v>
      </c>
      <c r="F70" s="50" t="s">
        <v>17</v>
      </c>
      <c r="G70" s="47"/>
      <c r="H70" s="48" t="s">
        <v>14</v>
      </c>
      <c r="I70" s="49" t="s">
        <v>15</v>
      </c>
      <c r="J70" s="49" t="s">
        <v>0</v>
      </c>
      <c r="K70" s="49" t="s">
        <v>1</v>
      </c>
      <c r="L70" s="49" t="s">
        <v>16</v>
      </c>
      <c r="M70" s="50" t="s">
        <v>17</v>
      </c>
      <c r="N70" s="47"/>
      <c r="O70" s="88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</row>
    <row r="71" spans="1:44" ht="15.5">
      <c r="A71" s="25">
        <v>1</v>
      </c>
      <c r="B71" s="26">
        <v>10.176666895548502</v>
      </c>
      <c r="C71" s="27">
        <v>10.176666895548502</v>
      </c>
      <c r="D71" s="28">
        <v>10.176666895548502</v>
      </c>
      <c r="E71" s="29" t="s">
        <v>18</v>
      </c>
      <c r="F71" s="30">
        <v>1</v>
      </c>
      <c r="H71" s="25">
        <v>1</v>
      </c>
      <c r="I71" s="26">
        <v>10.030000050862631</v>
      </c>
      <c r="J71" s="27">
        <v>10.030000050862631</v>
      </c>
      <c r="K71" s="28">
        <v>10.030000050862631</v>
      </c>
      <c r="L71" s="29" t="s">
        <v>18</v>
      </c>
      <c r="M71" s="30">
        <v>1</v>
      </c>
      <c r="O71" s="89">
        <f t="shared" ref="O71:O76" si="6">(J71-C71)/C71</f>
        <v>-1.4412070886394691E-2</v>
      </c>
    </row>
    <row r="72" spans="1:44" ht="15.5">
      <c r="A72" s="25">
        <v>5</v>
      </c>
      <c r="B72" s="26">
        <v>9.6433334350585938</v>
      </c>
      <c r="C72" s="27">
        <v>9.9133335749308262</v>
      </c>
      <c r="D72" s="28">
        <v>10.44333299001058</v>
      </c>
      <c r="E72" s="53">
        <v>-2.5876185525229637E-2</v>
      </c>
      <c r="F72" s="30">
        <v>1</v>
      </c>
      <c r="H72" s="25">
        <v>5</v>
      </c>
      <c r="I72" s="26">
        <v>8.6233332951863613</v>
      </c>
      <c r="J72" s="27">
        <v>9.0700000127156581</v>
      </c>
      <c r="K72" s="28">
        <v>9.8166666030883789</v>
      </c>
      <c r="L72" s="53">
        <v>-9.5712864733675435E-2</v>
      </c>
      <c r="M72" s="30">
        <v>1</v>
      </c>
      <c r="O72" s="89">
        <f t="shared" si="6"/>
        <v>-8.5070632985438779E-2</v>
      </c>
    </row>
    <row r="73" spans="1:44" ht="15.5">
      <c r="A73" s="25">
        <v>10</v>
      </c>
      <c r="B73" s="26">
        <v>9.3900003433227539</v>
      </c>
      <c r="C73" s="27">
        <v>9.8833335240681972</v>
      </c>
      <c r="D73" s="28">
        <v>10.603333473205566</v>
      </c>
      <c r="E73" s="53">
        <v>-2.8824110535505026E-2</v>
      </c>
      <c r="F73" s="30">
        <v>1</v>
      </c>
      <c r="H73" s="25">
        <v>10</v>
      </c>
      <c r="I73" s="26">
        <v>7.6966667175292969</v>
      </c>
      <c r="J73" s="27">
        <v>8.3066666920979824</v>
      </c>
      <c r="K73" s="28">
        <v>9.9966669082641602</v>
      </c>
      <c r="L73" s="53">
        <v>-0.17181788135847847</v>
      </c>
      <c r="M73" s="30">
        <v>1</v>
      </c>
      <c r="O73" s="89">
        <f t="shared" si="6"/>
        <v>-0.15952783826738898</v>
      </c>
    </row>
    <row r="74" spans="1:44" ht="15.5">
      <c r="A74" s="25">
        <v>20</v>
      </c>
      <c r="B74" s="26">
        <v>9.4200000762939453</v>
      </c>
      <c r="C74" s="27">
        <v>9.9100001653035488</v>
      </c>
      <c r="D74" s="28">
        <v>10.520000139872232</v>
      </c>
      <c r="E74" s="53">
        <v>-2.6203739690212238E-2</v>
      </c>
      <c r="F74" s="30">
        <v>1</v>
      </c>
      <c r="H74" s="25">
        <v>20</v>
      </c>
      <c r="I74" s="26">
        <v>8.0333331425984706</v>
      </c>
      <c r="J74" s="27">
        <v>8.2966664632161464</v>
      </c>
      <c r="K74" s="28">
        <v>9.5066665013631191</v>
      </c>
      <c r="L74" s="53">
        <v>-0.17281491314622766</v>
      </c>
      <c r="M74" s="30">
        <v>1</v>
      </c>
      <c r="O74" s="89">
        <f t="shared" si="6"/>
        <v>-0.16279855450819611</v>
      </c>
    </row>
    <row r="75" spans="1:44" ht="15.5">
      <c r="A75" s="25">
        <v>50</v>
      </c>
      <c r="B75" s="26">
        <v>9.1833330790201817</v>
      </c>
      <c r="C75" s="27">
        <v>9.6066665649414063</v>
      </c>
      <c r="D75" s="28">
        <v>10.466666539510092</v>
      </c>
      <c r="E75" s="53">
        <v>-5.6010512720665588E-2</v>
      </c>
      <c r="F75" s="30">
        <v>1</v>
      </c>
      <c r="H75" s="25">
        <v>50</v>
      </c>
      <c r="I75" s="26">
        <v>7.6033334732055664</v>
      </c>
      <c r="J75" s="27">
        <v>7.9499999682108564</v>
      </c>
      <c r="K75" s="28">
        <v>8.983333269755045</v>
      </c>
      <c r="L75" s="53">
        <v>-0.20737787358963011</v>
      </c>
      <c r="M75" s="30">
        <v>1</v>
      </c>
      <c r="O75" s="89">
        <f t="shared" si="6"/>
        <v>-0.17244968226298113</v>
      </c>
    </row>
    <row r="76" spans="1:44" ht="16" thickBot="1">
      <c r="A76" s="32">
        <v>100</v>
      </c>
      <c r="B76" s="33">
        <v>9.0966669718424473</v>
      </c>
      <c r="C76" s="34">
        <v>9.619999885559082</v>
      </c>
      <c r="D76" s="43">
        <v>10.729999860127768</v>
      </c>
      <c r="E76" s="51">
        <v>-5.4700327298019193E-2</v>
      </c>
      <c r="F76" s="42">
        <v>1</v>
      </c>
      <c r="H76" s="32">
        <v>100</v>
      </c>
      <c r="I76" s="33">
        <v>7.6033333142598467</v>
      </c>
      <c r="J76" s="34">
        <v>8.0033334096272792</v>
      </c>
      <c r="K76" s="43">
        <v>10.006666819254557</v>
      </c>
      <c r="L76" s="51">
        <v>-0.20206048165084983</v>
      </c>
      <c r="M76" s="42">
        <v>1</v>
      </c>
      <c r="O76" s="89">
        <f t="shared" si="6"/>
        <v>-0.16805265022493787</v>
      </c>
    </row>
    <row r="77" spans="1:44" s="47" customFormat="1">
      <c r="A77" s="2"/>
      <c r="B77" s="2"/>
      <c r="C77" s="2"/>
      <c r="D77" s="2"/>
      <c r="E77" s="2"/>
      <c r="F77" s="2"/>
      <c r="G77"/>
      <c r="H77" s="2"/>
      <c r="I77" s="2"/>
      <c r="J77" s="2"/>
      <c r="K77" s="2"/>
      <c r="L77" s="2"/>
      <c r="M77" s="2"/>
      <c r="N77"/>
      <c r="O77" s="8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 ht="15" thickBot="1">
      <c r="A78" s="2"/>
      <c r="B78" s="2"/>
      <c r="C78" s="2"/>
      <c r="D78" s="2"/>
      <c r="E78" s="2"/>
      <c r="F78" s="2"/>
      <c r="H78" s="2"/>
      <c r="I78" s="2"/>
      <c r="J78" s="2"/>
      <c r="K78" s="2"/>
      <c r="L78" s="2"/>
      <c r="M78" s="2"/>
      <c r="O78" s="87"/>
    </row>
    <row r="79" spans="1:44" ht="40.25" customHeight="1" thickBot="1">
      <c r="A79" s="70" t="s">
        <v>28</v>
      </c>
      <c r="B79" s="71"/>
      <c r="C79" s="71"/>
      <c r="D79" s="71"/>
      <c r="E79" s="71"/>
      <c r="F79" s="71"/>
      <c r="G79" s="72"/>
      <c r="H79" s="70" t="s">
        <v>28</v>
      </c>
      <c r="I79" s="71"/>
      <c r="J79" s="71"/>
      <c r="K79" s="71"/>
      <c r="L79" s="71"/>
      <c r="M79" s="71"/>
      <c r="N79" s="72"/>
      <c r="O79" s="87"/>
    </row>
    <row r="80" spans="1:44" ht="26">
      <c r="A80" s="48" t="s">
        <v>14</v>
      </c>
      <c r="B80" s="49" t="s">
        <v>15</v>
      </c>
      <c r="C80" s="49" t="s">
        <v>0</v>
      </c>
      <c r="D80" s="49" t="s">
        <v>1</v>
      </c>
      <c r="E80" s="49" t="s">
        <v>16</v>
      </c>
      <c r="F80" s="50" t="s">
        <v>17</v>
      </c>
      <c r="G80" s="47"/>
      <c r="H80" s="48" t="s">
        <v>14</v>
      </c>
      <c r="I80" s="49" t="s">
        <v>15</v>
      </c>
      <c r="J80" s="49" t="s">
        <v>0</v>
      </c>
      <c r="K80" s="49" t="s">
        <v>1</v>
      </c>
      <c r="L80" s="49" t="s">
        <v>16</v>
      </c>
      <c r="M80" s="50" t="s">
        <v>17</v>
      </c>
      <c r="N80" s="47"/>
      <c r="O80" s="88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  <c r="AP80" s="47"/>
      <c r="AQ80" s="47"/>
      <c r="AR80" s="47"/>
    </row>
    <row r="81" spans="1:44" ht="15.5">
      <c r="A81" s="25">
        <v>1</v>
      </c>
      <c r="B81" s="26">
        <v>10.579999923706055</v>
      </c>
      <c r="C81" s="27">
        <v>10.579999923706055</v>
      </c>
      <c r="D81" s="28">
        <v>10.579999923706055</v>
      </c>
      <c r="E81" s="29" t="s">
        <v>18</v>
      </c>
      <c r="F81" s="30">
        <v>1</v>
      </c>
      <c r="H81" s="25">
        <v>1</v>
      </c>
      <c r="I81" s="26">
        <v>9.5233332316080723</v>
      </c>
      <c r="J81" s="27">
        <v>9.5233332316080723</v>
      </c>
      <c r="K81" s="28">
        <v>9.5233332316080723</v>
      </c>
      <c r="L81" s="29" t="s">
        <v>18</v>
      </c>
      <c r="M81" s="30">
        <v>1</v>
      </c>
      <c r="O81" s="89">
        <f t="shared" ref="O81:O86" si="7">(J81-C81)/C81</f>
        <v>-9.9873979179372616E-2</v>
      </c>
    </row>
    <row r="82" spans="1:44" ht="15.5">
      <c r="A82" s="25">
        <v>5</v>
      </c>
      <c r="B82" s="26">
        <v>10.25</v>
      </c>
      <c r="C82" s="27">
        <v>11.023333549499512</v>
      </c>
      <c r="D82" s="28">
        <v>12.743333180745443</v>
      </c>
      <c r="E82" s="53">
        <v>4.1902989507599381E-2</v>
      </c>
      <c r="F82" s="30">
        <v>1</v>
      </c>
      <c r="H82" s="25">
        <v>5</v>
      </c>
      <c r="I82" s="26">
        <v>8.3466669718424473</v>
      </c>
      <c r="J82" s="27">
        <v>8.7566665013631191</v>
      </c>
      <c r="K82" s="28">
        <v>9.5033334096272792</v>
      </c>
      <c r="L82" s="53">
        <v>-8.0504032737232792E-2</v>
      </c>
      <c r="M82" s="30">
        <v>1</v>
      </c>
      <c r="O82" s="95">
        <f t="shared" si="7"/>
        <v>-0.20562446359425504</v>
      </c>
    </row>
    <row r="83" spans="1:44" ht="15.5">
      <c r="A83" s="25">
        <v>10</v>
      </c>
      <c r="B83" s="26">
        <v>12.793333371480307</v>
      </c>
      <c r="C83" s="27">
        <v>13.543333053588867</v>
      </c>
      <c r="D83" s="28">
        <v>14.383333524068197</v>
      </c>
      <c r="E83" s="52">
        <v>0.28008819955121422</v>
      </c>
      <c r="F83" s="30">
        <v>1</v>
      </c>
      <c r="H83" s="25">
        <v>10</v>
      </c>
      <c r="I83" s="26">
        <v>12.049999872843424</v>
      </c>
      <c r="J83" s="27">
        <v>12.746666590372721</v>
      </c>
      <c r="K83" s="28">
        <v>13.823333104451498</v>
      </c>
      <c r="L83" s="52">
        <v>0.33846692963198655</v>
      </c>
      <c r="M83" s="30">
        <v>1</v>
      </c>
      <c r="O83" s="89">
        <f t="shared" si="7"/>
        <v>-5.8823515604604928E-2</v>
      </c>
    </row>
    <row r="84" spans="1:44" ht="15.5">
      <c r="A84" s="25">
        <v>20</v>
      </c>
      <c r="B84" s="26">
        <v>9.8666664759318028</v>
      </c>
      <c r="C84" s="27">
        <v>10.396666526794434</v>
      </c>
      <c r="D84" s="28">
        <v>11.163333574930826</v>
      </c>
      <c r="E84" s="40">
        <v>-1.7328298509798237E-2</v>
      </c>
      <c r="F84" s="30">
        <v>1</v>
      </c>
      <c r="H84" s="25">
        <v>20</v>
      </c>
      <c r="I84" s="26">
        <v>8.0866667429606114</v>
      </c>
      <c r="J84" s="27">
        <v>8.6566664377848301</v>
      </c>
      <c r="K84" s="28">
        <v>9.7866665522257481</v>
      </c>
      <c r="L84" s="40">
        <v>-9.1004564551701639E-2</v>
      </c>
      <c r="M84" s="30">
        <v>1</v>
      </c>
      <c r="O84" s="89">
        <f t="shared" si="7"/>
        <v>-0.16736134457378729</v>
      </c>
    </row>
    <row r="85" spans="1:44" ht="15.5">
      <c r="A85" s="25">
        <v>50</v>
      </c>
      <c r="B85" s="26">
        <v>9.796666781107584</v>
      </c>
      <c r="C85" s="27">
        <v>10.340000152587891</v>
      </c>
      <c r="D85" s="28">
        <v>11.09666633605957</v>
      </c>
      <c r="E85" s="40">
        <v>-2.2684288549039502E-2</v>
      </c>
      <c r="F85" s="30">
        <v>1</v>
      </c>
      <c r="H85" s="25">
        <v>50</v>
      </c>
      <c r="I85" s="26">
        <v>7.9600000381469727</v>
      </c>
      <c r="J85" s="27">
        <v>8.6699997584025059</v>
      </c>
      <c r="K85" s="28">
        <v>10.240000089009603</v>
      </c>
      <c r="L85" s="40">
        <v>-8.9604495868457174E-2</v>
      </c>
      <c r="M85" s="30">
        <v>1</v>
      </c>
      <c r="O85" s="89">
        <f t="shared" si="7"/>
        <v>-0.16150873980088074</v>
      </c>
    </row>
    <row r="86" spans="1:44" ht="16" thickBot="1">
      <c r="A86" s="32">
        <v>100</v>
      </c>
      <c r="B86" s="33">
        <v>9.6566667556762695</v>
      </c>
      <c r="C86" s="34">
        <v>10.34999974568685</v>
      </c>
      <c r="D86" s="43">
        <v>11.15666643778483</v>
      </c>
      <c r="E86" s="41">
        <v>-2.1739147417558644E-2</v>
      </c>
      <c r="F86" s="42">
        <v>1</v>
      </c>
      <c r="H86" s="32">
        <v>100</v>
      </c>
      <c r="I86" s="33">
        <v>8.4399995803833008</v>
      </c>
      <c r="J86" s="34">
        <v>9.1466665267944336</v>
      </c>
      <c r="K86" s="43">
        <v>12.979999860127768</v>
      </c>
      <c r="L86" s="41">
        <v>-3.9551982026994163E-2</v>
      </c>
      <c r="M86" s="42">
        <v>1</v>
      </c>
      <c r="O86" s="89">
        <f t="shared" si="7"/>
        <v>-0.11626408197680202</v>
      </c>
    </row>
    <row r="87" spans="1:44" s="47" customFormat="1">
      <c r="A87" s="2"/>
      <c r="B87" s="2"/>
      <c r="C87" s="2"/>
      <c r="D87" s="2"/>
      <c r="E87" s="2"/>
      <c r="F87" s="2"/>
      <c r="G87"/>
      <c r="H87" s="2"/>
      <c r="I87" s="2"/>
      <c r="J87" s="2"/>
      <c r="K87" s="2"/>
      <c r="L87" s="2"/>
      <c r="M87" s="2"/>
      <c r="N87"/>
      <c r="O87" s="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 ht="15" thickBot="1">
      <c r="A88" s="2"/>
      <c r="B88" s="2"/>
      <c r="C88" s="2"/>
      <c r="D88" s="2"/>
      <c r="E88" s="2"/>
      <c r="F88" s="2"/>
      <c r="H88" s="2"/>
      <c r="I88" s="2"/>
      <c r="J88" s="2"/>
      <c r="K88" s="2"/>
      <c r="L88" s="2"/>
      <c r="M88" s="2"/>
      <c r="O88" s="87"/>
    </row>
    <row r="89" spans="1:44" ht="33.65" customHeight="1" thickBot="1">
      <c r="A89" s="70" t="s">
        <v>29</v>
      </c>
      <c r="B89" s="71"/>
      <c r="C89" s="71"/>
      <c r="D89" s="71"/>
      <c r="E89" s="71"/>
      <c r="F89" s="71"/>
      <c r="G89" s="72"/>
      <c r="H89" s="70" t="s">
        <v>29</v>
      </c>
      <c r="I89" s="71"/>
      <c r="J89" s="71"/>
      <c r="K89" s="71"/>
      <c r="L89" s="71"/>
      <c r="M89" s="71"/>
      <c r="N89" s="72"/>
      <c r="O89" s="87"/>
    </row>
    <row r="90" spans="1:44" ht="26">
      <c r="A90" s="48" t="s">
        <v>14</v>
      </c>
      <c r="B90" s="49" t="s">
        <v>15</v>
      </c>
      <c r="C90" s="49" t="s">
        <v>0</v>
      </c>
      <c r="D90" s="49" t="s">
        <v>1</v>
      </c>
      <c r="E90" s="49" t="s">
        <v>16</v>
      </c>
      <c r="F90" s="50" t="s">
        <v>17</v>
      </c>
      <c r="G90" s="47"/>
      <c r="H90" s="48" t="s">
        <v>14</v>
      </c>
      <c r="I90" s="49" t="s">
        <v>15</v>
      </c>
      <c r="J90" s="49" t="s">
        <v>0</v>
      </c>
      <c r="K90" s="49" t="s">
        <v>1</v>
      </c>
      <c r="L90" s="49" t="s">
        <v>16</v>
      </c>
      <c r="M90" s="50" t="s">
        <v>17</v>
      </c>
      <c r="N90" s="47"/>
      <c r="O90" s="88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</row>
    <row r="91" spans="1:44" ht="15.5">
      <c r="A91" s="25">
        <v>1</v>
      </c>
      <c r="B91" s="26">
        <v>9.0666666030883789</v>
      </c>
      <c r="C91" s="27">
        <v>9.0666666030883789</v>
      </c>
      <c r="D91" s="28">
        <v>9.0666666030883789</v>
      </c>
      <c r="E91" s="29" t="s">
        <v>18</v>
      </c>
      <c r="F91" s="30">
        <v>1</v>
      </c>
      <c r="H91" s="25">
        <v>1</v>
      </c>
      <c r="I91" s="26">
        <v>8.8400001525878906</v>
      </c>
      <c r="J91" s="27">
        <v>8.8400001525878906</v>
      </c>
      <c r="K91" s="28">
        <v>8.8400001525878906</v>
      </c>
      <c r="L91" s="29" t="s">
        <v>18</v>
      </c>
      <c r="M91" s="30">
        <v>1</v>
      </c>
      <c r="O91" s="89">
        <f t="shared" ref="O91:O96" si="8">(J91-C91)/C91</f>
        <v>-2.4999976333449702E-2</v>
      </c>
    </row>
    <row r="92" spans="1:44" ht="15.5">
      <c r="A92" s="25">
        <v>5</v>
      </c>
      <c r="B92" s="26">
        <v>9.0099999109903965</v>
      </c>
      <c r="C92" s="27">
        <v>9.3366667429606114</v>
      </c>
      <c r="D92" s="28">
        <v>9.6633332570393886</v>
      </c>
      <c r="E92" s="53">
        <v>2.9779427400612957E-2</v>
      </c>
      <c r="F92" s="30">
        <v>1</v>
      </c>
      <c r="H92" s="25">
        <v>5</v>
      </c>
      <c r="I92" s="26">
        <v>8.1000000635782872</v>
      </c>
      <c r="J92" s="27">
        <v>8.6533333460489903</v>
      </c>
      <c r="K92" s="28">
        <v>9.4366664886474609</v>
      </c>
      <c r="L92" s="53">
        <v>-2.1116154221360962E-2</v>
      </c>
      <c r="M92" s="30">
        <v>1</v>
      </c>
      <c r="O92" s="89">
        <f t="shared" si="8"/>
        <v>-7.3188153301800229E-2</v>
      </c>
    </row>
    <row r="93" spans="1:44" ht="15.5">
      <c r="A93" s="25">
        <v>10</v>
      </c>
      <c r="B93" s="26">
        <v>8.9999996821085606</v>
      </c>
      <c r="C93" s="27">
        <v>9.4466667175292969</v>
      </c>
      <c r="D93" s="28">
        <v>9.9666665395100917</v>
      </c>
      <c r="E93" s="40">
        <v>4.191177762194085E-2</v>
      </c>
      <c r="F93" s="30">
        <v>1</v>
      </c>
      <c r="H93" s="25">
        <v>10</v>
      </c>
      <c r="I93" s="26">
        <v>7.5633333524068194</v>
      </c>
      <c r="J93" s="27">
        <v>8.4699996312459316</v>
      </c>
      <c r="K93" s="28">
        <v>9.1066665649414063</v>
      </c>
      <c r="L93" s="40">
        <v>-4.185526187277748E-2</v>
      </c>
      <c r="M93" s="30">
        <v>1</v>
      </c>
      <c r="O93" s="89">
        <f t="shared" si="8"/>
        <v>-0.10338748211271764</v>
      </c>
    </row>
    <row r="94" spans="1:44" ht="15.5">
      <c r="A94" s="25">
        <v>20</v>
      </c>
      <c r="B94" s="26">
        <v>8.8766667048136387</v>
      </c>
      <c r="C94" s="27">
        <v>9.369999885559082</v>
      </c>
      <c r="D94" s="28">
        <v>9.8066666920979824</v>
      </c>
      <c r="E94" s="40">
        <v>3.3455876977695274E-2</v>
      </c>
      <c r="F94" s="30">
        <v>1</v>
      </c>
      <c r="H94" s="25">
        <v>20</v>
      </c>
      <c r="I94" s="26">
        <v>7.8066666920979815</v>
      </c>
      <c r="J94" s="27">
        <v>8.5066668192545567</v>
      </c>
      <c r="K94" s="28">
        <v>9.2733332316080723</v>
      </c>
      <c r="L94" s="40">
        <v>-3.7707389997697155E-2</v>
      </c>
      <c r="M94" s="30">
        <v>1</v>
      </c>
      <c r="O94" s="89">
        <f t="shared" si="8"/>
        <v>-9.2138001798173191E-2</v>
      </c>
    </row>
    <row r="95" spans="1:44" ht="15.5">
      <c r="A95" s="25">
        <v>50</v>
      </c>
      <c r="B95" s="26">
        <v>8.9033333460489903</v>
      </c>
      <c r="C95" s="27">
        <v>9.443333625793457</v>
      </c>
      <c r="D95" s="28">
        <v>10.070000012715658</v>
      </c>
      <c r="E95" s="40">
        <v>4.1544157207321818E-2</v>
      </c>
      <c r="F95" s="30">
        <v>1</v>
      </c>
      <c r="H95" s="25">
        <v>50</v>
      </c>
      <c r="I95" s="26">
        <v>7.6233334541320801</v>
      </c>
      <c r="J95" s="27">
        <v>8.4866666793823242</v>
      </c>
      <c r="K95" s="28">
        <v>10</v>
      </c>
      <c r="L95" s="40">
        <v>-3.9969849220209436E-2</v>
      </c>
      <c r="M95" s="30">
        <v>1</v>
      </c>
      <c r="O95" s="89">
        <f t="shared" si="8"/>
        <v>-0.10130606249027348</v>
      </c>
    </row>
    <row r="96" spans="1:44" ht="16" thickBot="1">
      <c r="A96" s="32">
        <v>100</v>
      </c>
      <c r="B96" s="33">
        <v>8.7766666412353516</v>
      </c>
      <c r="C96" s="34">
        <v>9.4100001653035488</v>
      </c>
      <c r="D96" s="43">
        <v>10.123333613077799</v>
      </c>
      <c r="E96" s="41">
        <v>3.786767256868364E-2</v>
      </c>
      <c r="F96" s="42">
        <v>1</v>
      </c>
      <c r="H96" s="32">
        <v>100</v>
      </c>
      <c r="I96" s="33">
        <v>7.4533333778381348</v>
      </c>
      <c r="J96" s="34">
        <v>8.4800001780192051</v>
      </c>
      <c r="K96" s="43">
        <v>9.3000001907348633</v>
      </c>
      <c r="L96" s="41">
        <v>-4.0723978320667369E-2</v>
      </c>
      <c r="M96" s="42">
        <v>1</v>
      </c>
      <c r="O96" s="89">
        <f t="shared" si="8"/>
        <v>-9.8831027730842083E-2</v>
      </c>
    </row>
    <row r="97" spans="1:44" s="47" customFormat="1">
      <c r="A97" s="2"/>
      <c r="B97" s="2"/>
      <c r="C97" s="2"/>
      <c r="D97" s="2"/>
      <c r="E97" s="2"/>
      <c r="F97" s="2"/>
      <c r="G97"/>
      <c r="H97" s="2"/>
      <c r="I97" s="2"/>
      <c r="J97" s="2"/>
      <c r="K97" s="2"/>
      <c r="L97" s="2"/>
      <c r="M97" s="2"/>
      <c r="N97"/>
      <c r="O97" s="8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 ht="15" thickBot="1">
      <c r="A98" s="2"/>
      <c r="B98" s="2"/>
      <c r="C98" s="2"/>
      <c r="D98" s="2"/>
      <c r="E98" s="2"/>
      <c r="F98" s="2"/>
      <c r="H98" s="2"/>
      <c r="I98" s="2"/>
      <c r="J98" s="2"/>
      <c r="K98" s="2"/>
      <c r="L98" s="2"/>
      <c r="M98" s="2"/>
      <c r="O98" s="87"/>
    </row>
    <row r="99" spans="1:44" ht="40.25" customHeight="1" thickBot="1">
      <c r="A99" s="70" t="s">
        <v>30</v>
      </c>
      <c r="B99" s="71"/>
      <c r="C99" s="71"/>
      <c r="D99" s="71"/>
      <c r="E99" s="71"/>
      <c r="F99" s="71"/>
      <c r="G99" s="72"/>
      <c r="H99" s="70" t="s">
        <v>30</v>
      </c>
      <c r="I99" s="71"/>
      <c r="J99" s="71"/>
      <c r="K99" s="71"/>
      <c r="L99" s="71"/>
      <c r="M99" s="71"/>
      <c r="N99" s="72"/>
      <c r="O99" s="87"/>
    </row>
    <row r="100" spans="1:44" ht="26">
      <c r="A100" s="48" t="s">
        <v>14</v>
      </c>
      <c r="B100" s="49" t="s">
        <v>15</v>
      </c>
      <c r="C100" s="49" t="s">
        <v>0</v>
      </c>
      <c r="D100" s="49" t="s">
        <v>1</v>
      </c>
      <c r="E100" s="49" t="s">
        <v>16</v>
      </c>
      <c r="F100" s="50" t="s">
        <v>17</v>
      </c>
      <c r="G100" s="47"/>
      <c r="H100" s="48" t="s">
        <v>14</v>
      </c>
      <c r="I100" s="49" t="s">
        <v>15</v>
      </c>
      <c r="J100" s="49" t="s">
        <v>0</v>
      </c>
      <c r="K100" s="49" t="s">
        <v>1</v>
      </c>
      <c r="L100" s="49" t="s">
        <v>16</v>
      </c>
      <c r="M100" s="50" t="s">
        <v>17</v>
      </c>
      <c r="N100" s="47"/>
      <c r="O100" s="88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</row>
    <row r="101" spans="1:44" ht="15.5">
      <c r="A101" s="25">
        <v>1</v>
      </c>
      <c r="B101" s="26">
        <v>10.700000127156576</v>
      </c>
      <c r="C101" s="27">
        <v>10.700000127156576</v>
      </c>
      <c r="D101" s="28">
        <v>10.700000127156576</v>
      </c>
      <c r="E101" s="29" t="s">
        <v>18</v>
      </c>
      <c r="F101" s="30">
        <v>1</v>
      </c>
      <c r="H101" s="25">
        <v>1</v>
      </c>
      <c r="I101" s="26">
        <v>9.0200001398722325</v>
      </c>
      <c r="J101" s="27">
        <v>9.0200001398722325</v>
      </c>
      <c r="K101" s="28">
        <v>9.0200001398722325</v>
      </c>
      <c r="L101" s="29" t="s">
        <v>18</v>
      </c>
      <c r="M101" s="30">
        <v>1</v>
      </c>
      <c r="O101" s="89">
        <f t="shared" ref="O101:O106" si="9">(J101-C101)/C101</f>
        <v>-0.15700934274014702</v>
      </c>
    </row>
    <row r="102" spans="1:44" ht="15.5">
      <c r="A102" s="25">
        <v>5</v>
      </c>
      <c r="B102" s="26">
        <v>10.223333358764648</v>
      </c>
      <c r="C102" s="27">
        <v>10.56000010172526</v>
      </c>
      <c r="D102" s="28">
        <v>10.940000216166178</v>
      </c>
      <c r="E102" s="53">
        <v>-1.3084114370802346E-2</v>
      </c>
      <c r="F102" s="30">
        <v>1</v>
      </c>
      <c r="H102" s="25">
        <v>5</v>
      </c>
      <c r="I102" s="26">
        <v>9.6999998092651367</v>
      </c>
      <c r="J102" s="27">
        <v>10.079999923706055</v>
      </c>
      <c r="K102" s="28">
        <v>10.626666704813639</v>
      </c>
      <c r="L102" s="53">
        <v>0.11751660392422533</v>
      </c>
      <c r="M102" s="30">
        <v>1</v>
      </c>
      <c r="O102" s="89">
        <f t="shared" si="9"/>
        <v>-4.5454561874557577E-2</v>
      </c>
    </row>
    <row r="103" spans="1:44" ht="15.5">
      <c r="A103" s="25">
        <v>10</v>
      </c>
      <c r="B103" s="26">
        <v>9.8133335113525391</v>
      </c>
      <c r="C103" s="27">
        <v>10.333333015441895</v>
      </c>
      <c r="D103" s="28">
        <v>10.886666297912598</v>
      </c>
      <c r="E103" s="53">
        <v>-3.426795395862485E-2</v>
      </c>
      <c r="F103" s="30">
        <v>1</v>
      </c>
      <c r="H103" s="25">
        <v>10</v>
      </c>
      <c r="I103" s="26">
        <v>9.4466667175292969</v>
      </c>
      <c r="J103" s="27">
        <v>10.18999989827474</v>
      </c>
      <c r="K103" s="28">
        <v>11.443333307902018</v>
      </c>
      <c r="L103" s="53">
        <v>0.12971172286690016</v>
      </c>
      <c r="M103" s="30">
        <v>1</v>
      </c>
      <c r="O103" s="89">
        <f t="shared" si="9"/>
        <v>-1.3870947249349329E-2</v>
      </c>
    </row>
    <row r="104" spans="1:44" ht="15.5">
      <c r="A104" s="25">
        <v>20</v>
      </c>
      <c r="B104" s="26">
        <v>9.8833335240681972</v>
      </c>
      <c r="C104" s="27">
        <v>10.373333613077799</v>
      </c>
      <c r="D104" s="28">
        <v>10.786666870117188</v>
      </c>
      <c r="E104" s="53">
        <v>-3.052958039221872E-2</v>
      </c>
      <c r="F104" s="30">
        <v>1</v>
      </c>
      <c r="H104" s="25">
        <v>20</v>
      </c>
      <c r="I104" s="26">
        <v>9.5499998728434239</v>
      </c>
      <c r="J104" s="27">
        <v>10.226666450500488</v>
      </c>
      <c r="K104" s="28">
        <v>11.333333333333334</v>
      </c>
      <c r="L104" s="53">
        <v>0.13377675076680742</v>
      </c>
      <c r="M104" s="30">
        <v>1</v>
      </c>
      <c r="O104" s="89">
        <f t="shared" si="9"/>
        <v>-1.4138864905723785E-2</v>
      </c>
    </row>
    <row r="105" spans="1:44" ht="15.5">
      <c r="A105" s="25">
        <v>50</v>
      </c>
      <c r="B105" s="26">
        <v>9.8099997838338222</v>
      </c>
      <c r="C105" s="27">
        <v>10.350000063578287</v>
      </c>
      <c r="D105" s="28">
        <v>10.969999949137369</v>
      </c>
      <c r="E105" s="53">
        <v>-3.27102859270057E-2</v>
      </c>
      <c r="F105" s="30">
        <v>1</v>
      </c>
      <c r="H105" s="25">
        <v>50</v>
      </c>
      <c r="I105" s="26">
        <v>9.6666669845581055</v>
      </c>
      <c r="J105" s="27">
        <v>10.200000127156576</v>
      </c>
      <c r="K105" s="28">
        <v>11.476666450500488</v>
      </c>
      <c r="L105" s="53">
        <v>0.13082039567474532</v>
      </c>
      <c r="M105" s="30">
        <v>1</v>
      </c>
      <c r="O105" s="89">
        <f t="shared" si="9"/>
        <v>-1.4492747391332078E-2</v>
      </c>
    </row>
    <row r="106" spans="1:44" ht="16" thickBot="1">
      <c r="A106" s="32">
        <v>100</v>
      </c>
      <c r="B106" s="33">
        <v>9.8366667429606114</v>
      </c>
      <c r="C106" s="34">
        <v>10.359999974568685</v>
      </c>
      <c r="D106" s="43">
        <v>11.170000076293945</v>
      </c>
      <c r="E106" s="59">
        <v>-3.1775714817513977E-2</v>
      </c>
      <c r="F106" s="30">
        <v>1</v>
      </c>
      <c r="H106" s="32">
        <v>100</v>
      </c>
      <c r="I106" s="33">
        <v>9.0466664632161464</v>
      </c>
      <c r="J106" s="34">
        <v>9.7833334604899083</v>
      </c>
      <c r="K106" s="43">
        <v>11.43999989827474</v>
      </c>
      <c r="L106" s="59">
        <v>8.4626752636446007E-2</v>
      </c>
      <c r="M106" s="30">
        <v>1</v>
      </c>
      <c r="O106" s="89">
        <f t="shared" si="9"/>
        <v>-5.5662791070883705E-2</v>
      </c>
    </row>
    <row r="107" spans="1:44" s="47" customFormat="1">
      <c r="A107" s="2"/>
      <c r="B107" s="2"/>
      <c r="C107" s="2"/>
      <c r="D107" s="2"/>
      <c r="E107" s="2"/>
      <c r="F107" s="2"/>
      <c r="G107"/>
      <c r="H107" s="2"/>
      <c r="I107" s="2"/>
      <c r="J107" s="2"/>
      <c r="K107" s="2"/>
      <c r="L107" s="2"/>
      <c r="M107" s="2"/>
      <c r="N107"/>
      <c r="O107" s="8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 ht="15" thickBot="1">
      <c r="A108" s="2"/>
      <c r="B108" s="2"/>
      <c r="C108" s="2"/>
      <c r="D108" s="2"/>
      <c r="E108" s="2"/>
      <c r="F108" s="2"/>
      <c r="H108" s="2"/>
      <c r="I108" s="2"/>
      <c r="J108" s="2"/>
      <c r="K108" s="2"/>
      <c r="L108" s="2"/>
      <c r="M108" s="2"/>
      <c r="O108" s="87"/>
    </row>
    <row r="109" spans="1:44" ht="38" customHeight="1" thickBot="1">
      <c r="A109" s="75" t="s">
        <v>31</v>
      </c>
      <c r="B109" s="76"/>
      <c r="C109" s="76"/>
      <c r="D109" s="76"/>
      <c r="E109" s="76"/>
      <c r="F109" s="77"/>
      <c r="H109" s="75" t="s">
        <v>31</v>
      </c>
      <c r="I109" s="76"/>
      <c r="J109" s="76"/>
      <c r="K109" s="76"/>
      <c r="L109" s="76"/>
      <c r="M109" s="77"/>
      <c r="O109" s="87"/>
    </row>
    <row r="110" spans="1:44" ht="26">
      <c r="A110" s="48" t="s">
        <v>14</v>
      </c>
      <c r="B110" s="49" t="s">
        <v>15</v>
      </c>
      <c r="C110" s="49" t="s">
        <v>0</v>
      </c>
      <c r="D110" s="49" t="s">
        <v>1</v>
      </c>
      <c r="E110" s="49" t="s">
        <v>16</v>
      </c>
      <c r="F110" s="50" t="s">
        <v>17</v>
      </c>
      <c r="G110" s="47"/>
      <c r="H110" s="48" t="s">
        <v>14</v>
      </c>
      <c r="I110" s="49" t="s">
        <v>15</v>
      </c>
      <c r="J110" s="49" t="s">
        <v>0</v>
      </c>
      <c r="K110" s="49" t="s">
        <v>1</v>
      </c>
      <c r="L110" s="49" t="s">
        <v>16</v>
      </c>
      <c r="M110" s="50" t="s">
        <v>17</v>
      </c>
      <c r="N110" s="47"/>
      <c r="O110" s="88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</row>
    <row r="111" spans="1:44" ht="15.5">
      <c r="A111" s="25">
        <v>1</v>
      </c>
      <c r="B111" s="26">
        <v>10.019999821980795</v>
      </c>
      <c r="C111" s="27">
        <v>10.019999821980795</v>
      </c>
      <c r="D111" s="28">
        <v>10.019999821980795</v>
      </c>
      <c r="E111" s="29" t="s">
        <v>18</v>
      </c>
      <c r="F111" s="30">
        <v>1</v>
      </c>
      <c r="H111" s="25">
        <v>1</v>
      </c>
      <c r="I111" s="26">
        <v>7.7166666984558105</v>
      </c>
      <c r="J111" s="27">
        <v>7.7166666984558105</v>
      </c>
      <c r="K111" s="28">
        <v>7.7166666984558105</v>
      </c>
      <c r="L111" s="29"/>
      <c r="M111" s="30">
        <v>1</v>
      </c>
      <c r="O111" s="95">
        <f t="shared" ref="O111:O116" si="10">(J111-C111)/C111</f>
        <v>-0.22987356930607727</v>
      </c>
    </row>
    <row r="112" spans="1:44" ht="15.5">
      <c r="A112" s="25">
        <v>5</v>
      </c>
      <c r="B112" s="26">
        <v>9.8166666030883789</v>
      </c>
      <c r="C112" s="27">
        <v>10.25333309173584</v>
      </c>
      <c r="D112" s="28">
        <v>10.670000076293945</v>
      </c>
      <c r="E112" s="53">
        <v>2.328675388228886E-2</v>
      </c>
      <c r="F112" s="30">
        <v>1</v>
      </c>
      <c r="H112" s="25">
        <v>5</v>
      </c>
      <c r="I112" s="26">
        <v>7.1166667938232422</v>
      </c>
      <c r="J112" s="27">
        <v>7.8200000127156573</v>
      </c>
      <c r="K112" s="28">
        <v>8.6366666158040371</v>
      </c>
      <c r="L112" s="53"/>
      <c r="M112" s="30">
        <v>1</v>
      </c>
      <c r="O112" s="95">
        <f t="shared" si="10"/>
        <v>-0.23732117714789183</v>
      </c>
    </row>
    <row r="113" spans="1:44" ht="15.5">
      <c r="A113" s="25">
        <v>10</v>
      </c>
      <c r="B113" s="26">
        <v>9.6166664759318028</v>
      </c>
      <c r="C113" s="27">
        <v>10.256666819254557</v>
      </c>
      <c r="D113" s="28">
        <v>10.923333168029785</v>
      </c>
      <c r="E113" s="53">
        <v>2.3619461225397161E-2</v>
      </c>
      <c r="F113" s="30">
        <v>1</v>
      </c>
      <c r="H113" s="25">
        <v>10</v>
      </c>
      <c r="I113" s="26">
        <v>7.3833332061767578</v>
      </c>
      <c r="J113" s="27">
        <v>7.7633334795633955</v>
      </c>
      <c r="K113" s="28">
        <v>8.5500001907348633</v>
      </c>
      <c r="L113" s="53"/>
      <c r="M113" s="30">
        <v>1</v>
      </c>
      <c r="O113" s="95">
        <f t="shared" si="10"/>
        <v>-0.24309391965531099</v>
      </c>
    </row>
    <row r="114" spans="1:44" ht="15.5">
      <c r="A114" s="25">
        <v>20</v>
      </c>
      <c r="B114" s="26">
        <v>9.6099999745686855</v>
      </c>
      <c r="C114" s="27">
        <v>10.299999872843424</v>
      </c>
      <c r="D114" s="28">
        <v>10.84333324432373</v>
      </c>
      <c r="E114" s="53">
        <v>2.7944117349023811E-2</v>
      </c>
      <c r="F114" s="30">
        <v>1</v>
      </c>
      <c r="H114" s="25">
        <v>20</v>
      </c>
      <c r="I114" s="26">
        <v>7.0933332443237305</v>
      </c>
      <c r="J114" s="27">
        <v>7.6366666158040362</v>
      </c>
      <c r="K114" s="28">
        <v>8.8766667048136387</v>
      </c>
      <c r="L114" s="53"/>
      <c r="M114" s="30">
        <v>1</v>
      </c>
      <c r="O114" s="95">
        <f t="shared" si="10"/>
        <v>-0.25857604756495461</v>
      </c>
    </row>
    <row r="115" spans="1:44" ht="15.5">
      <c r="A115" s="25">
        <v>50</v>
      </c>
      <c r="B115" s="26">
        <v>9.7266667683919277</v>
      </c>
      <c r="C115" s="27">
        <v>10.419999758402506</v>
      </c>
      <c r="D115" s="28">
        <v>10.983333269755045</v>
      </c>
      <c r="E115" s="53">
        <v>3.992015404473704E-2</v>
      </c>
      <c r="F115" s="30">
        <v>1</v>
      </c>
      <c r="H115" s="25">
        <v>50</v>
      </c>
      <c r="I115" s="26">
        <v>7</v>
      </c>
      <c r="J115" s="27">
        <v>7.5466667811075849</v>
      </c>
      <c r="K115" s="28">
        <v>8.7266664505004883</v>
      </c>
      <c r="L115" s="53"/>
      <c r="M115" s="30">
        <v>1</v>
      </c>
      <c r="O115" s="95">
        <f t="shared" si="10"/>
        <v>-0.27575173166178968</v>
      </c>
    </row>
    <row r="116" spans="1:44" ht="16" thickBot="1">
      <c r="A116" s="32">
        <v>100</v>
      </c>
      <c r="B116" s="33">
        <v>9.6400000254313145</v>
      </c>
      <c r="C116" s="34">
        <v>10.486666679382324</v>
      </c>
      <c r="D116" s="43">
        <v>11.243333498636881</v>
      </c>
      <c r="E116" s="51">
        <v>4.6573539490270842E-2</v>
      </c>
      <c r="F116" s="30">
        <v>1</v>
      </c>
      <c r="H116" s="32">
        <v>100</v>
      </c>
      <c r="I116" s="33">
        <v>6.9800000190734863</v>
      </c>
      <c r="J116" s="34">
        <v>7.4500001271565752</v>
      </c>
      <c r="K116" s="43">
        <v>9.2266664505004883</v>
      </c>
      <c r="L116" s="51"/>
      <c r="M116" s="30">
        <v>1</v>
      </c>
      <c r="O116" s="95">
        <f t="shared" si="10"/>
        <v>-0.28957405103721784</v>
      </c>
    </row>
    <row r="117" spans="1:44" s="47" customFormat="1">
      <c r="A117" s="2"/>
      <c r="B117" s="2"/>
      <c r="C117" s="2"/>
      <c r="D117" s="2"/>
      <c r="E117" s="2"/>
      <c r="F117" s="2"/>
      <c r="G117"/>
      <c r="H117" s="2"/>
      <c r="I117" s="2"/>
      <c r="J117" s="2"/>
      <c r="K117" s="2"/>
      <c r="L117" s="2"/>
      <c r="M117" s="2"/>
      <c r="N117"/>
      <c r="O117" s="8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 ht="15" thickBot="1">
      <c r="A118" s="2"/>
      <c r="B118" s="2"/>
      <c r="C118" s="2"/>
      <c r="D118" s="2"/>
      <c r="E118" s="2"/>
      <c r="F118" s="2"/>
      <c r="H118" s="2"/>
      <c r="I118" s="2"/>
      <c r="J118" s="2"/>
      <c r="K118" s="2"/>
      <c r="L118" s="2"/>
      <c r="M118" s="2"/>
      <c r="O118" s="87"/>
    </row>
    <row r="119" spans="1:44" ht="49.25" customHeight="1" thickBot="1">
      <c r="A119" s="70" t="s">
        <v>32</v>
      </c>
      <c r="B119" s="71"/>
      <c r="C119" s="71"/>
      <c r="D119" s="71"/>
      <c r="E119" s="71"/>
      <c r="F119" s="71"/>
      <c r="G119" s="72"/>
      <c r="H119" s="70" t="s">
        <v>32</v>
      </c>
      <c r="I119" s="71"/>
      <c r="J119" s="71"/>
      <c r="K119" s="71"/>
      <c r="L119" s="71"/>
      <c r="M119" s="71"/>
      <c r="N119" s="72"/>
      <c r="O119" s="87"/>
    </row>
    <row r="120" spans="1:44" ht="26">
      <c r="A120" s="48" t="s">
        <v>14</v>
      </c>
      <c r="B120" s="49" t="s">
        <v>15</v>
      </c>
      <c r="C120" s="49" t="s">
        <v>0</v>
      </c>
      <c r="D120" s="49" t="s">
        <v>1</v>
      </c>
      <c r="E120" s="49" t="s">
        <v>16</v>
      </c>
      <c r="F120" s="50" t="s">
        <v>17</v>
      </c>
      <c r="G120" s="47"/>
      <c r="H120" s="48" t="s">
        <v>14</v>
      </c>
      <c r="I120" s="49" t="s">
        <v>15</v>
      </c>
      <c r="J120" s="49" t="s">
        <v>0</v>
      </c>
      <c r="K120" s="49" t="s">
        <v>1</v>
      </c>
      <c r="L120" s="49" t="s">
        <v>16</v>
      </c>
      <c r="M120" s="50" t="s">
        <v>17</v>
      </c>
      <c r="N120" s="47"/>
      <c r="O120" s="88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</row>
    <row r="121" spans="1:44" ht="15.5">
      <c r="A121" s="25">
        <v>1</v>
      </c>
      <c r="B121" s="26">
        <v>8.6533333460489903</v>
      </c>
      <c r="C121" s="27">
        <v>8.6533333460489903</v>
      </c>
      <c r="D121" s="28">
        <v>8.6533333460489903</v>
      </c>
      <c r="E121" s="29" t="s">
        <v>18</v>
      </c>
      <c r="F121" s="30">
        <v>1</v>
      </c>
      <c r="H121" s="25">
        <v>1</v>
      </c>
      <c r="I121" s="26">
        <v>7.7966666221618652</v>
      </c>
      <c r="J121" s="27">
        <v>7.7966666221618652</v>
      </c>
      <c r="K121" s="28">
        <v>7.7966666221618652</v>
      </c>
      <c r="L121" s="29" t="s">
        <v>18</v>
      </c>
      <c r="M121" s="30">
        <v>1</v>
      </c>
      <c r="O121" s="89">
        <f t="shared" ref="O121:O126" si="11">(J121-C121)/C121</f>
        <v>-9.8998465635010927E-2</v>
      </c>
    </row>
    <row r="122" spans="1:44" ht="15.5">
      <c r="A122" s="25">
        <v>5</v>
      </c>
      <c r="B122" s="26">
        <v>8.6633332570393886</v>
      </c>
      <c r="C122" s="27">
        <v>9.2100003560384121</v>
      </c>
      <c r="D122" s="28">
        <v>9.6833333969116211</v>
      </c>
      <c r="E122" s="40">
        <v>6.4329777639224928E-2</v>
      </c>
      <c r="F122" s="30">
        <v>1</v>
      </c>
      <c r="H122" s="25">
        <v>5</v>
      </c>
      <c r="I122" s="26">
        <v>7.0133333206176758</v>
      </c>
      <c r="J122" s="27">
        <v>7.4233334859212237</v>
      </c>
      <c r="K122" s="28">
        <v>8.3733332951863613</v>
      </c>
      <c r="L122" s="40">
        <v>-4.788368598183354E-2</v>
      </c>
      <c r="M122" s="30">
        <v>1</v>
      </c>
      <c r="O122" s="89">
        <f t="shared" si="11"/>
        <v>-0.19399205223111468</v>
      </c>
    </row>
    <row r="123" spans="1:44" ht="15.5">
      <c r="A123" s="25">
        <v>10</v>
      </c>
      <c r="B123" s="26">
        <v>8.3033336003621425</v>
      </c>
      <c r="C123" s="27">
        <v>9.0366665522257481</v>
      </c>
      <c r="D123" s="28">
        <v>9.5166664123535156</v>
      </c>
      <c r="E123" s="40">
        <v>4.4298906657950859E-2</v>
      </c>
      <c r="F123" s="30">
        <v>1</v>
      </c>
      <c r="H123" s="25">
        <v>10</v>
      </c>
      <c r="I123" s="26">
        <v>6.9533333778381348</v>
      </c>
      <c r="J123" s="27">
        <v>7.4700001080830889</v>
      </c>
      <c r="K123" s="28">
        <v>8.3766670227050781</v>
      </c>
      <c r="L123" s="40">
        <v>-4.1898227782400425E-2</v>
      </c>
      <c r="M123" s="30">
        <v>1</v>
      </c>
      <c r="O123" s="89">
        <f t="shared" si="11"/>
        <v>-0.17336773854478302</v>
      </c>
    </row>
    <row r="124" spans="1:44" ht="15.5">
      <c r="A124" s="25">
        <v>20</v>
      </c>
      <c r="B124" s="26">
        <v>8.5099999109903965</v>
      </c>
      <c r="C124" s="27">
        <v>8.9266665776570644</v>
      </c>
      <c r="D124" s="28">
        <v>9.6166664759318028</v>
      </c>
      <c r="E124" s="53">
        <v>3.1587045208754709E-2</v>
      </c>
      <c r="F124" s="30">
        <v>1</v>
      </c>
      <c r="H124" s="25">
        <v>20</v>
      </c>
      <c r="I124" s="26">
        <v>6.6433334350585938</v>
      </c>
      <c r="J124" s="27">
        <v>7.1899998982747393</v>
      </c>
      <c r="K124" s="28">
        <v>8.0500000317891445</v>
      </c>
      <c r="L124" s="53">
        <v>-7.7811038138104846E-2</v>
      </c>
      <c r="M124" s="30">
        <v>1</v>
      </c>
      <c r="O124" s="89">
        <f t="shared" si="11"/>
        <v>-0.19454817364066251</v>
      </c>
    </row>
    <row r="125" spans="1:44" ht="15.5">
      <c r="A125" s="25">
        <v>50</v>
      </c>
      <c r="B125" s="26">
        <v>8.3433332443237305</v>
      </c>
      <c r="C125" s="27">
        <v>8.9033330281575527</v>
      </c>
      <c r="D125" s="28">
        <v>9.5933335622151699</v>
      </c>
      <c r="E125" s="40">
        <v>2.889056414574729E-2</v>
      </c>
      <c r="F125" s="30">
        <v>1</v>
      </c>
      <c r="H125" s="25">
        <v>50</v>
      </c>
      <c r="I125" s="26">
        <v>6.6466665267944336</v>
      </c>
      <c r="J125" s="27">
        <v>7.1133333841959638</v>
      </c>
      <c r="K125" s="28">
        <v>8.3100001017252598</v>
      </c>
      <c r="L125" s="40">
        <v>-8.7644280701132032E-2</v>
      </c>
      <c r="M125" s="30">
        <v>1</v>
      </c>
      <c r="O125" s="95">
        <f t="shared" si="11"/>
        <v>-0.20104826342006546</v>
      </c>
    </row>
    <row r="126" spans="1:44" ht="16" thickBot="1">
      <c r="A126" s="32">
        <v>100</v>
      </c>
      <c r="B126" s="33">
        <v>8.2566668192545567</v>
      </c>
      <c r="C126" s="34">
        <v>8.8866666158040371</v>
      </c>
      <c r="D126" s="43">
        <v>9.7199999491373692</v>
      </c>
      <c r="E126" s="41">
        <v>2.6964553475983213E-2</v>
      </c>
      <c r="F126" s="42">
        <v>0.9966666666666667</v>
      </c>
      <c r="H126" s="32">
        <v>100</v>
      </c>
      <c r="I126" s="33">
        <v>6.5866667429606123</v>
      </c>
      <c r="J126" s="34">
        <v>7.0666666030883789</v>
      </c>
      <c r="K126" s="43">
        <v>8.2933330535888672</v>
      </c>
      <c r="L126" s="41">
        <v>-9.3629759286933761E-2</v>
      </c>
      <c r="M126" s="42">
        <v>0.9966666666666667</v>
      </c>
      <c r="O126" s="95">
        <f t="shared" si="11"/>
        <v>-0.20480120290311918</v>
      </c>
    </row>
    <row r="127" spans="1:44" s="47" customFormat="1">
      <c r="A127" s="2"/>
      <c r="B127" s="2"/>
      <c r="C127" s="2"/>
      <c r="D127" s="2"/>
      <c r="E127" s="2"/>
      <c r="F127" s="2"/>
      <c r="G127"/>
      <c r="H127" s="2"/>
      <c r="I127" s="2"/>
      <c r="J127" s="2"/>
      <c r="K127" s="2"/>
      <c r="L127" s="2"/>
      <c r="M127" s="2"/>
      <c r="N127"/>
      <c r="O127" s="8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 ht="15" thickBot="1">
      <c r="A128" s="2"/>
      <c r="B128" s="2"/>
      <c r="C128" s="2"/>
      <c r="D128" s="2"/>
      <c r="E128" s="2"/>
      <c r="F128" s="2"/>
      <c r="H128" s="2"/>
      <c r="I128" s="2"/>
      <c r="J128" s="2"/>
      <c r="K128" s="2"/>
      <c r="L128" s="2"/>
      <c r="M128" s="2"/>
      <c r="O128" s="87"/>
    </row>
    <row r="129" spans="1:44" ht="35" customHeight="1" thickBot="1">
      <c r="A129" s="70" t="s">
        <v>33</v>
      </c>
      <c r="B129" s="71"/>
      <c r="C129" s="71"/>
      <c r="D129" s="71"/>
      <c r="E129" s="71"/>
      <c r="F129" s="71"/>
      <c r="G129" s="72"/>
      <c r="H129" s="70" t="s">
        <v>33</v>
      </c>
      <c r="I129" s="71"/>
      <c r="J129" s="71"/>
      <c r="K129" s="71"/>
      <c r="L129" s="71"/>
      <c r="M129" s="71"/>
      <c r="N129" s="72"/>
      <c r="O129" s="87"/>
    </row>
    <row r="130" spans="1:44" ht="26">
      <c r="A130" s="48" t="s">
        <v>14</v>
      </c>
      <c r="B130" s="49" t="s">
        <v>15</v>
      </c>
      <c r="C130" s="49" t="s">
        <v>0</v>
      </c>
      <c r="D130" s="49" t="s">
        <v>1</v>
      </c>
      <c r="E130" s="49" t="s">
        <v>16</v>
      </c>
      <c r="F130" s="50" t="s">
        <v>17</v>
      </c>
      <c r="G130" s="47"/>
      <c r="H130" s="48" t="s">
        <v>14</v>
      </c>
      <c r="I130" s="49" t="s">
        <v>15</v>
      </c>
      <c r="J130" s="49" t="s">
        <v>0</v>
      </c>
      <c r="K130" s="49" t="s">
        <v>1</v>
      </c>
      <c r="L130" s="49" t="s">
        <v>16</v>
      </c>
      <c r="M130" s="50" t="s">
        <v>17</v>
      </c>
      <c r="N130" s="47"/>
      <c r="O130" s="88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</row>
    <row r="131" spans="1:44" ht="15.5">
      <c r="A131" s="25">
        <v>1</v>
      </c>
      <c r="B131" s="26">
        <v>5.0933334032694502</v>
      </c>
      <c r="C131" s="27">
        <v>5.0933334032694502</v>
      </c>
      <c r="D131" s="28">
        <v>5.0933334032694502</v>
      </c>
      <c r="E131" s="29" t="s">
        <v>18</v>
      </c>
      <c r="F131" s="30">
        <v>1</v>
      </c>
      <c r="H131" s="25">
        <v>1</v>
      </c>
      <c r="I131" s="26">
        <v>4.3200000127156573</v>
      </c>
      <c r="J131" s="27">
        <v>4.3200000127156573</v>
      </c>
      <c r="K131" s="28">
        <v>4.3200000127156573</v>
      </c>
      <c r="L131" s="29" t="s">
        <v>18</v>
      </c>
      <c r="M131" s="30">
        <v>1</v>
      </c>
      <c r="O131" s="89">
        <f t="shared" ref="O131:O136" si="12">(J131-C131)/C131</f>
        <v>-0.15183246988256929</v>
      </c>
    </row>
    <row r="132" spans="1:44" ht="15.5">
      <c r="A132" s="25">
        <v>5</v>
      </c>
      <c r="B132" s="26">
        <v>4.7233333587646484</v>
      </c>
      <c r="C132" s="27">
        <v>4.9800000190734863</v>
      </c>
      <c r="D132" s="28">
        <v>5.5999999046325684</v>
      </c>
      <c r="E132" s="53">
        <v>-2.2251318581111196E-2</v>
      </c>
      <c r="F132" s="30">
        <v>1</v>
      </c>
      <c r="H132" s="25">
        <v>5</v>
      </c>
      <c r="I132" s="26">
        <v>3.2999999523162842</v>
      </c>
      <c r="J132" s="27">
        <v>3.7366666793823242</v>
      </c>
      <c r="K132" s="28">
        <v>4.6466666857401533</v>
      </c>
      <c r="L132" s="53">
        <v>-0.13503086380007567</v>
      </c>
      <c r="M132" s="30">
        <v>1</v>
      </c>
      <c r="O132" s="95">
        <f t="shared" si="12"/>
        <v>-0.2496653282990309</v>
      </c>
    </row>
    <row r="133" spans="1:44" ht="15.5">
      <c r="A133" s="25">
        <v>10</v>
      </c>
      <c r="B133" s="26">
        <v>4.5700000127156573</v>
      </c>
      <c r="C133" s="27">
        <v>4.8433334032694502</v>
      </c>
      <c r="D133" s="28">
        <v>5.5499998728434248</v>
      </c>
      <c r="E133" s="40">
        <v>-4.9083768959542889E-2</v>
      </c>
      <c r="F133" s="30">
        <v>1</v>
      </c>
      <c r="H133" s="25">
        <v>10</v>
      </c>
      <c r="I133" s="26">
        <v>3.3366666634877524</v>
      </c>
      <c r="J133" s="27">
        <v>3.613333304723104</v>
      </c>
      <c r="K133" s="28">
        <v>4.5199999809265137</v>
      </c>
      <c r="L133" s="40">
        <v>-0.16358025599826917</v>
      </c>
      <c r="M133" s="30">
        <v>1</v>
      </c>
      <c r="O133" s="95">
        <f t="shared" si="12"/>
        <v>-0.25395734634250977</v>
      </c>
    </row>
    <row r="134" spans="1:44" ht="15.5">
      <c r="A134" s="25">
        <v>20</v>
      </c>
      <c r="B134" s="26">
        <v>4.3999999936421714</v>
      </c>
      <c r="C134" s="27">
        <v>4.6533333206176755</v>
      </c>
      <c r="D134" s="28">
        <v>5.4333333079020179</v>
      </c>
      <c r="E134" s="52">
        <v>-8.6387449596237939E-2</v>
      </c>
      <c r="F134" s="30">
        <v>1</v>
      </c>
      <c r="H134" s="25">
        <v>20</v>
      </c>
      <c r="I134" s="26">
        <v>3.2533333301544189</v>
      </c>
      <c r="J134" s="27">
        <v>3.5</v>
      </c>
      <c r="K134" s="28">
        <v>4.5700000127156573</v>
      </c>
      <c r="L134" s="52">
        <v>-0.18981481719954563</v>
      </c>
      <c r="M134" s="30">
        <v>1</v>
      </c>
      <c r="O134" s="95">
        <f t="shared" si="12"/>
        <v>-0.24785100081001374</v>
      </c>
    </row>
    <row r="135" spans="1:44" ht="15.5">
      <c r="A135" s="25">
        <v>50</v>
      </c>
      <c r="B135" s="26">
        <v>4.3966666857401533</v>
      </c>
      <c r="C135" s="27">
        <v>4.6566665967305498</v>
      </c>
      <c r="D135" s="28">
        <v>5.3866667747497559</v>
      </c>
      <c r="E135" s="40">
        <v>-8.5733010577827187E-2</v>
      </c>
      <c r="F135" s="30">
        <v>1</v>
      </c>
      <c r="H135" s="25">
        <v>50</v>
      </c>
      <c r="I135" s="26">
        <v>3.2166666984558105</v>
      </c>
      <c r="J135" s="27">
        <v>3.4333333969116211</v>
      </c>
      <c r="K135" s="28">
        <v>4.5966666539510088</v>
      </c>
      <c r="L135" s="40">
        <v>-0.20524690120235808</v>
      </c>
      <c r="M135" s="30">
        <v>1</v>
      </c>
      <c r="O135" s="95">
        <f t="shared" si="12"/>
        <v>-0.26270577341264506</v>
      </c>
    </row>
    <row r="136" spans="1:44" ht="16" thickBot="1">
      <c r="A136" s="32">
        <v>100</v>
      </c>
      <c r="B136" s="33">
        <v>4.3566667238871259</v>
      </c>
      <c r="C136" s="34">
        <v>4.6566667556762695</v>
      </c>
      <c r="D136" s="43">
        <v>5.536666552225749</v>
      </c>
      <c r="E136" s="41">
        <v>-8.573297937120726E-2</v>
      </c>
      <c r="F136" s="42">
        <v>1</v>
      </c>
      <c r="H136" s="32">
        <v>100</v>
      </c>
      <c r="I136" s="33">
        <v>3.1600000063578286</v>
      </c>
      <c r="J136" s="34">
        <v>3.4833333492279053</v>
      </c>
      <c r="K136" s="43">
        <v>4.8399999936421709</v>
      </c>
      <c r="L136" s="41">
        <v>-0.19367283820024875</v>
      </c>
      <c r="M136" s="42">
        <v>1</v>
      </c>
      <c r="O136" s="95">
        <f t="shared" si="12"/>
        <v>-0.25196851482192129</v>
      </c>
    </row>
    <row r="137" spans="1:44" s="47" customFormat="1">
      <c r="A137" s="1"/>
      <c r="B137" s="1"/>
      <c r="C137" s="1"/>
      <c r="D137" s="1"/>
      <c r="E137" s="1"/>
      <c r="F137" s="1"/>
      <c r="G137"/>
      <c r="H137" s="1"/>
      <c r="I137" s="1"/>
      <c r="J137" s="1"/>
      <c r="K137" s="1"/>
      <c r="L137" s="1"/>
      <c r="M137" s="1"/>
      <c r="N137"/>
      <c r="O137" s="8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 ht="15" thickBot="1">
      <c r="A138" s="1"/>
      <c r="B138" s="1"/>
      <c r="C138" s="1"/>
      <c r="D138" s="1"/>
      <c r="E138" s="1"/>
      <c r="F138" s="1"/>
      <c r="H138" s="1"/>
      <c r="I138" s="1"/>
      <c r="J138" s="1"/>
      <c r="K138" s="1"/>
      <c r="L138" s="1"/>
      <c r="M138" s="1"/>
      <c r="O138" s="87"/>
    </row>
    <row r="139" spans="1:44" ht="31.25" customHeight="1" thickBot="1">
      <c r="A139" s="70" t="s">
        <v>34</v>
      </c>
      <c r="B139" s="71"/>
      <c r="C139" s="71"/>
      <c r="D139" s="71"/>
      <c r="E139" s="71"/>
      <c r="F139" s="71"/>
      <c r="G139" s="72"/>
      <c r="H139" s="70" t="s">
        <v>34</v>
      </c>
      <c r="I139" s="71"/>
      <c r="J139" s="71"/>
      <c r="K139" s="71"/>
      <c r="L139" s="71"/>
      <c r="M139" s="71"/>
      <c r="N139" s="72"/>
      <c r="O139" s="87"/>
    </row>
    <row r="140" spans="1:44" ht="26">
      <c r="A140" s="48" t="s">
        <v>14</v>
      </c>
      <c r="B140" s="49" t="s">
        <v>15</v>
      </c>
      <c r="C140" s="49" t="s">
        <v>0</v>
      </c>
      <c r="D140" s="49" t="s">
        <v>1</v>
      </c>
      <c r="E140" s="49" t="s">
        <v>16</v>
      </c>
      <c r="F140" s="50" t="s">
        <v>17</v>
      </c>
      <c r="G140" s="47"/>
      <c r="H140" s="48" t="s">
        <v>14</v>
      </c>
      <c r="I140" s="49" t="s">
        <v>15</v>
      </c>
      <c r="J140" s="49" t="s">
        <v>0</v>
      </c>
      <c r="K140" s="49" t="s">
        <v>1</v>
      </c>
      <c r="L140" s="49" t="s">
        <v>16</v>
      </c>
      <c r="M140" s="50" t="s">
        <v>17</v>
      </c>
      <c r="N140" s="47"/>
      <c r="O140" s="88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</row>
    <row r="141" spans="1:44" ht="15.5">
      <c r="A141" s="25">
        <v>1</v>
      </c>
      <c r="B141" s="26">
        <v>5.2333334287007647</v>
      </c>
      <c r="C141" s="27">
        <v>5.2333334287007647</v>
      </c>
      <c r="D141" s="28">
        <v>5.2333334287007647</v>
      </c>
      <c r="E141" s="29" t="s">
        <v>18</v>
      </c>
      <c r="F141" s="30">
        <v>1</v>
      </c>
      <c r="H141" s="25">
        <v>1</v>
      </c>
      <c r="I141" s="26">
        <v>4.7633333206176758</v>
      </c>
      <c r="J141" s="27">
        <v>4.7633333206176758</v>
      </c>
      <c r="K141" s="28">
        <v>4.7633333206176758</v>
      </c>
      <c r="L141" s="29" t="s">
        <v>18</v>
      </c>
      <c r="M141" s="30">
        <v>1</v>
      </c>
      <c r="O141" s="89">
        <f t="shared" ref="O141:O146" si="13">(J141-C141)/C141</f>
        <v>-8.9808936213676693E-2</v>
      </c>
    </row>
    <row r="142" spans="1:44" ht="15.5">
      <c r="A142" s="25">
        <v>5</v>
      </c>
      <c r="B142" s="26">
        <v>4.2666667302449541</v>
      </c>
      <c r="C142" s="27">
        <v>4.5766666730244951</v>
      </c>
      <c r="D142" s="28">
        <v>5.1966667175292969</v>
      </c>
      <c r="E142" s="53">
        <v>-0.12547772172798374</v>
      </c>
      <c r="F142" s="30">
        <v>1</v>
      </c>
      <c r="H142" s="25">
        <v>5</v>
      </c>
      <c r="I142" s="26">
        <v>3.4699999491373696</v>
      </c>
      <c r="J142" s="27">
        <v>3.7633333206176758</v>
      </c>
      <c r="K142" s="28">
        <v>4.6000000635782881</v>
      </c>
      <c r="L142" s="53">
        <v>-0.2099370194547559</v>
      </c>
      <c r="M142" s="30">
        <v>1</v>
      </c>
      <c r="O142" s="89">
        <f t="shared" si="13"/>
        <v>-0.17771304106561187</v>
      </c>
    </row>
    <row r="143" spans="1:44" ht="15.5">
      <c r="A143" s="25">
        <v>10</v>
      </c>
      <c r="B143" s="26">
        <v>4.2433333396911621</v>
      </c>
      <c r="C143" s="27">
        <v>4.4833332697550459</v>
      </c>
      <c r="D143" s="28">
        <v>5.2666667302449541</v>
      </c>
      <c r="E143" s="53">
        <v>-0.1433121296710336</v>
      </c>
      <c r="F143" s="30">
        <v>1</v>
      </c>
      <c r="H143" s="25">
        <v>10</v>
      </c>
      <c r="I143" s="26">
        <v>3.6166666348775229</v>
      </c>
      <c r="J143" s="27">
        <v>3.8366665840148926</v>
      </c>
      <c r="K143" s="28">
        <v>4.7599999109903974</v>
      </c>
      <c r="L143" s="53">
        <v>-0.19454165271025364</v>
      </c>
      <c r="M143" s="30">
        <v>1</v>
      </c>
      <c r="O143" s="89">
        <f t="shared" si="13"/>
        <v>-0.1442379245153651</v>
      </c>
    </row>
    <row r="144" spans="1:44" ht="15.5">
      <c r="A144" s="25">
        <v>20</v>
      </c>
      <c r="B144" s="26">
        <v>4.2233333587646484</v>
      </c>
      <c r="C144" s="27">
        <v>4.5433333714803057</v>
      </c>
      <c r="D144" s="28">
        <v>5.3700002034505205</v>
      </c>
      <c r="E144" s="53">
        <v>-0.13184714228914696</v>
      </c>
      <c r="F144" s="30">
        <v>1</v>
      </c>
      <c r="H144" s="25">
        <v>20</v>
      </c>
      <c r="I144" s="26">
        <v>3.1800000667572021</v>
      </c>
      <c r="J144" s="27">
        <v>3.4066666762034097</v>
      </c>
      <c r="K144" s="28">
        <v>4.5399999618530273</v>
      </c>
      <c r="L144" s="53">
        <v>-0.2848145517220162</v>
      </c>
      <c r="M144" s="30">
        <v>1</v>
      </c>
      <c r="O144" s="95">
        <f t="shared" si="13"/>
        <v>-0.25018342312541947</v>
      </c>
    </row>
    <row r="145" spans="1:44" ht="15.5">
      <c r="A145" s="25">
        <v>50</v>
      </c>
      <c r="B145" s="26">
        <v>4.2199999491373701</v>
      </c>
      <c r="C145" s="27">
        <v>4.5033332506815595</v>
      </c>
      <c r="D145" s="28">
        <v>5.4300001462300616</v>
      </c>
      <c r="E145" s="53">
        <v>-0.13949047733433567</v>
      </c>
      <c r="F145" s="30">
        <v>1</v>
      </c>
      <c r="H145" s="25">
        <v>50</v>
      </c>
      <c r="I145" s="26">
        <v>3.1166666348775229</v>
      </c>
      <c r="J145" s="27">
        <v>3.4433333079020181</v>
      </c>
      <c r="K145" s="28">
        <v>4.6233332951863604</v>
      </c>
      <c r="L145" s="53">
        <v>-0.27711686834976507</v>
      </c>
      <c r="M145" s="30">
        <v>1</v>
      </c>
      <c r="O145" s="95">
        <f t="shared" si="13"/>
        <v>-0.23538119072558425</v>
      </c>
    </row>
    <row r="146" spans="1:44" ht="16" thickBot="1">
      <c r="A146" s="32">
        <v>100</v>
      </c>
      <c r="B146" s="33">
        <v>4.0766666730244951</v>
      </c>
      <c r="C146" s="34">
        <v>4.3533333142598467</v>
      </c>
      <c r="D146" s="43">
        <v>5.2199999491373701</v>
      </c>
      <c r="E146" s="51">
        <v>-0.16815288504546674</v>
      </c>
      <c r="F146" s="42">
        <v>1</v>
      </c>
      <c r="H146" s="32">
        <v>100</v>
      </c>
      <c r="I146" s="33">
        <v>3.1366666158040366</v>
      </c>
      <c r="J146" s="34">
        <v>3.3933333555857339</v>
      </c>
      <c r="K146" s="43">
        <v>4.8566667238871259</v>
      </c>
      <c r="L146" s="51">
        <v>-0.2876137093119257</v>
      </c>
      <c r="M146" s="42">
        <v>1</v>
      </c>
      <c r="O146" s="95">
        <f t="shared" si="13"/>
        <v>-0.220520665286419</v>
      </c>
    </row>
    <row r="147" spans="1:44" s="47" customFormat="1">
      <c r="A147" s="1"/>
      <c r="B147" s="1"/>
      <c r="C147" s="1"/>
      <c r="D147" s="1"/>
      <c r="E147" s="1"/>
      <c r="F147" s="1"/>
      <c r="G147"/>
      <c r="H147" s="1"/>
      <c r="I147" s="1"/>
      <c r="J147" s="1"/>
      <c r="K147" s="1"/>
      <c r="L147" s="1"/>
      <c r="M147" s="1"/>
      <c r="N147"/>
      <c r="O147" s="8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 ht="15" thickBot="1">
      <c r="A148" s="1"/>
      <c r="B148" s="1"/>
      <c r="C148" s="1"/>
      <c r="D148" s="1"/>
      <c r="E148" s="1"/>
      <c r="F148" s="1"/>
      <c r="H148" s="1"/>
      <c r="I148" s="1"/>
      <c r="J148" s="1"/>
      <c r="K148" s="1"/>
      <c r="L148" s="1"/>
      <c r="M148" s="1"/>
      <c r="O148" s="87"/>
    </row>
    <row r="149" spans="1:44" ht="37.25" customHeight="1" thickBot="1">
      <c r="A149" s="70" t="s">
        <v>35</v>
      </c>
      <c r="B149" s="71"/>
      <c r="C149" s="71"/>
      <c r="D149" s="71"/>
      <c r="E149" s="71"/>
      <c r="F149" s="71"/>
      <c r="G149" s="72"/>
      <c r="H149" s="70" t="s">
        <v>35</v>
      </c>
      <c r="I149" s="71"/>
      <c r="J149" s="71"/>
      <c r="K149" s="71"/>
      <c r="L149" s="71"/>
      <c r="M149" s="71"/>
      <c r="N149" s="72"/>
      <c r="O149" s="87"/>
    </row>
    <row r="150" spans="1:44" ht="26">
      <c r="A150" s="48" t="s">
        <v>14</v>
      </c>
      <c r="B150" s="49" t="s">
        <v>15</v>
      </c>
      <c r="C150" s="49" t="s">
        <v>0</v>
      </c>
      <c r="D150" s="49" t="s">
        <v>1</v>
      </c>
      <c r="E150" s="49" t="s">
        <v>16</v>
      </c>
      <c r="F150" s="50" t="s">
        <v>17</v>
      </c>
      <c r="G150" s="47"/>
      <c r="H150" s="48" t="s">
        <v>14</v>
      </c>
      <c r="I150" s="49" t="s">
        <v>15</v>
      </c>
      <c r="J150" s="49" t="s">
        <v>0</v>
      </c>
      <c r="K150" s="49" t="s">
        <v>1</v>
      </c>
      <c r="L150" s="49" t="s">
        <v>16</v>
      </c>
      <c r="M150" s="50" t="s">
        <v>17</v>
      </c>
      <c r="N150" s="47"/>
      <c r="O150" s="88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</row>
    <row r="151" spans="1:44" ht="15.5">
      <c r="A151" s="25">
        <v>1</v>
      </c>
      <c r="B151" s="26">
        <v>6.3166666030883789</v>
      </c>
      <c r="C151" s="27">
        <v>6.3166666030883789</v>
      </c>
      <c r="D151" s="26">
        <v>6.3166666030883789</v>
      </c>
      <c r="E151" s="29" t="s">
        <v>18</v>
      </c>
      <c r="F151" s="30">
        <v>1</v>
      </c>
      <c r="H151" s="25">
        <v>1</v>
      </c>
      <c r="I151" s="26">
        <v>5.2399999300638838</v>
      </c>
      <c r="J151" s="27">
        <v>5.2399999300638838</v>
      </c>
      <c r="K151" s="26">
        <v>5.2399999300638838</v>
      </c>
      <c r="L151" s="29" t="s">
        <v>18</v>
      </c>
      <c r="M151" s="30">
        <v>1</v>
      </c>
      <c r="O151" s="89">
        <f t="shared" ref="O151:O156" si="14">(J151-C151)/C151</f>
        <v>-0.17044855153477395</v>
      </c>
    </row>
    <row r="152" spans="1:44" ht="15.5">
      <c r="A152" s="25">
        <v>5</v>
      </c>
      <c r="B152" s="26">
        <v>5.8433332443237305</v>
      </c>
      <c r="C152" s="27">
        <v>6.0799999237060547</v>
      </c>
      <c r="D152" s="26">
        <v>6.4700001080830889</v>
      </c>
      <c r="E152" s="53">
        <v>-3.7467020859801567E-2</v>
      </c>
      <c r="F152" s="30">
        <v>1</v>
      </c>
      <c r="H152" s="25">
        <v>5</v>
      </c>
      <c r="I152" s="26">
        <v>4.4433333079020185</v>
      </c>
      <c r="J152" s="27">
        <v>4.9100000063578291</v>
      </c>
      <c r="K152" s="26">
        <v>5.6266665458679199</v>
      </c>
      <c r="L152" s="53">
        <v>-6.2977085517257156E-2</v>
      </c>
      <c r="M152" s="30">
        <v>1</v>
      </c>
      <c r="O152" s="89">
        <f t="shared" si="14"/>
        <v>-0.19243419934700493</v>
      </c>
    </row>
    <row r="153" spans="1:44" ht="15.5">
      <c r="A153" s="25">
        <v>10</v>
      </c>
      <c r="B153" s="26">
        <v>5.5566666920979815</v>
      </c>
      <c r="C153" s="27">
        <v>5.8599999745686846</v>
      </c>
      <c r="D153" s="26">
        <v>6.4866668383280439</v>
      </c>
      <c r="E153" s="53">
        <v>-7.2295509200441005E-2</v>
      </c>
      <c r="F153" s="30">
        <v>1</v>
      </c>
      <c r="H153" s="25">
        <v>10</v>
      </c>
      <c r="I153" s="26">
        <v>4.3133333524068194</v>
      </c>
      <c r="J153" s="27">
        <v>4.7466665903727217</v>
      </c>
      <c r="K153" s="26">
        <v>5.7133332888285322</v>
      </c>
      <c r="L153" s="53">
        <v>-9.4147585167076067E-2</v>
      </c>
      <c r="M153" s="30">
        <v>1</v>
      </c>
      <c r="O153" s="89">
        <f t="shared" si="14"/>
        <v>-0.18998863293986754</v>
      </c>
    </row>
    <row r="154" spans="1:44" ht="15.5">
      <c r="A154" s="25">
        <v>20</v>
      </c>
      <c r="B154" s="26">
        <v>5.4466667175292969</v>
      </c>
      <c r="C154" s="27">
        <v>5.9600000381469727</v>
      </c>
      <c r="D154" s="26">
        <v>6.7166666984558105</v>
      </c>
      <c r="E154" s="53">
        <v>-5.646436441128979E-2</v>
      </c>
      <c r="F154" s="30">
        <v>1</v>
      </c>
      <c r="H154" s="25">
        <v>20</v>
      </c>
      <c r="I154" s="26">
        <v>4.2066664695739746</v>
      </c>
      <c r="J154" s="27">
        <v>4.6966667175292969</v>
      </c>
      <c r="K154" s="26">
        <v>5.7533334096272783</v>
      </c>
      <c r="L154" s="53">
        <v>-0.10368954576073111</v>
      </c>
      <c r="M154" s="30">
        <v>1</v>
      </c>
      <c r="O154" s="95">
        <f t="shared" si="14"/>
        <v>-0.21196867659928062</v>
      </c>
    </row>
    <row r="155" spans="1:44" ht="15.5">
      <c r="A155" s="25">
        <v>50</v>
      </c>
      <c r="B155" s="26">
        <v>5.4933333396911621</v>
      </c>
      <c r="C155" s="27">
        <v>5.8566667238871259</v>
      </c>
      <c r="D155" s="26">
        <v>6.7566666603088379</v>
      </c>
      <c r="E155" s="53">
        <v>-7.2823200606526764E-2</v>
      </c>
      <c r="F155" s="30">
        <v>1</v>
      </c>
      <c r="H155" s="25">
        <v>50</v>
      </c>
      <c r="I155" s="26">
        <v>4.1466666857401533</v>
      </c>
      <c r="J155" s="27">
        <v>4.5800000826517744</v>
      </c>
      <c r="K155" s="26">
        <v>5.9066667556762695</v>
      </c>
      <c r="L155" s="53">
        <v>-0.12595417103451431</v>
      </c>
      <c r="M155" s="30">
        <v>1</v>
      </c>
      <c r="O155" s="95">
        <f t="shared" si="14"/>
        <v>-0.21798519557691609</v>
      </c>
    </row>
    <row r="156" spans="1:44" ht="16" thickBot="1">
      <c r="A156" s="32">
        <v>100</v>
      </c>
      <c r="B156" s="33">
        <v>5.4766667683919268</v>
      </c>
      <c r="C156" s="34">
        <v>5.8266666730244951</v>
      </c>
      <c r="D156" s="33">
        <v>6.9966665903727217</v>
      </c>
      <c r="E156" s="51">
        <v>-7.7572549075854397E-2</v>
      </c>
      <c r="F156" s="42">
        <v>1</v>
      </c>
      <c r="H156" s="32">
        <v>100</v>
      </c>
      <c r="I156" s="33">
        <v>4.0900001525878906</v>
      </c>
      <c r="J156" s="34">
        <v>4.5733334223429365</v>
      </c>
      <c r="K156" s="33">
        <v>6.25</v>
      </c>
      <c r="L156" s="51">
        <v>-0.12722643446921184</v>
      </c>
      <c r="M156" s="42">
        <v>1</v>
      </c>
      <c r="O156" s="95">
        <f t="shared" si="14"/>
        <v>-0.21510296040857624</v>
      </c>
    </row>
    <row r="157" spans="1:44" s="47" customFormat="1">
      <c r="A157" s="1"/>
      <c r="B157" s="1"/>
      <c r="C157" s="1"/>
      <c r="D157" s="1"/>
      <c r="E157" s="1"/>
      <c r="F157" s="1"/>
      <c r="G157"/>
      <c r="H157" s="1"/>
      <c r="I157" s="1"/>
      <c r="J157" s="1"/>
      <c r="K157" s="1"/>
      <c r="L157" s="1"/>
      <c r="M157" s="1"/>
      <c r="N157"/>
      <c r="O157" s="8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 ht="15" thickBot="1">
      <c r="A158" s="1"/>
      <c r="B158" s="1"/>
      <c r="C158" s="1"/>
      <c r="D158" s="1"/>
      <c r="E158" s="1"/>
      <c r="F158" s="1"/>
      <c r="H158" s="1"/>
      <c r="I158" s="1"/>
      <c r="J158" s="1"/>
      <c r="K158" s="1"/>
      <c r="L158" s="1"/>
      <c r="M158" s="1"/>
      <c r="O158" s="87"/>
    </row>
    <row r="159" spans="1:44" ht="38" customHeight="1" thickBot="1">
      <c r="A159" s="70" t="s">
        <v>36</v>
      </c>
      <c r="B159" s="71"/>
      <c r="C159" s="71"/>
      <c r="D159" s="71"/>
      <c r="E159" s="71"/>
      <c r="F159" s="71"/>
      <c r="G159" s="72"/>
      <c r="H159" s="70" t="s">
        <v>36</v>
      </c>
      <c r="I159" s="71"/>
      <c r="J159" s="71"/>
      <c r="K159" s="71"/>
      <c r="L159" s="71"/>
      <c r="M159" s="71"/>
      <c r="N159" s="72"/>
      <c r="O159" s="87"/>
    </row>
    <row r="160" spans="1:44" ht="26">
      <c r="A160" s="48" t="s">
        <v>14</v>
      </c>
      <c r="B160" s="49" t="s">
        <v>15</v>
      </c>
      <c r="C160" s="49" t="s">
        <v>0</v>
      </c>
      <c r="D160" s="49" t="s">
        <v>1</v>
      </c>
      <c r="E160" s="49" t="s">
        <v>16</v>
      </c>
      <c r="F160" s="50" t="s">
        <v>17</v>
      </c>
      <c r="G160" s="47"/>
      <c r="H160" s="48" t="s">
        <v>14</v>
      </c>
      <c r="I160" s="49" t="s">
        <v>15</v>
      </c>
      <c r="J160" s="49" t="s">
        <v>0</v>
      </c>
      <c r="K160" s="49" t="s">
        <v>1</v>
      </c>
      <c r="L160" s="49" t="s">
        <v>16</v>
      </c>
      <c r="M160" s="50" t="s">
        <v>17</v>
      </c>
      <c r="N160" s="47"/>
      <c r="O160" s="88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</row>
    <row r="161" spans="1:44" ht="15.5">
      <c r="A161" s="25">
        <v>1</v>
      </c>
      <c r="B161" s="26">
        <v>5.7466667493184405</v>
      </c>
      <c r="C161" s="27">
        <v>5.7466667493184405</v>
      </c>
      <c r="D161" s="26">
        <v>5.7466667493184405</v>
      </c>
      <c r="E161" s="29" t="s">
        <v>18</v>
      </c>
      <c r="F161" s="30">
        <v>1</v>
      </c>
      <c r="H161" s="25">
        <v>1</v>
      </c>
      <c r="I161" s="26">
        <v>6.0766665140787763</v>
      </c>
      <c r="J161" s="27">
        <v>6.0766665140787763</v>
      </c>
      <c r="K161" s="26">
        <v>6.0766665140787763</v>
      </c>
      <c r="L161" s="29" t="s">
        <v>18</v>
      </c>
      <c r="M161" s="30">
        <v>1</v>
      </c>
      <c r="O161" s="89">
        <f t="shared" ref="O161:O166" si="15">(J161-C161)/C161</f>
        <v>5.7424552206629023E-2</v>
      </c>
    </row>
    <row r="162" spans="1:44" ht="15.5">
      <c r="A162" s="25">
        <v>5</v>
      </c>
      <c r="B162" s="26">
        <v>5.0466666221618652</v>
      </c>
      <c r="C162" s="27">
        <v>5.3933334350585938</v>
      </c>
      <c r="D162" s="26">
        <v>6.0300000508626299</v>
      </c>
      <c r="E162" s="53">
        <v>-6.1484914590140854E-2</v>
      </c>
      <c r="F162" s="30">
        <v>1</v>
      </c>
      <c r="H162" s="25">
        <v>5</v>
      </c>
      <c r="I162" s="26">
        <v>6.209999879201253</v>
      </c>
      <c r="J162" s="27">
        <v>7.3366667429606123</v>
      </c>
      <c r="K162" s="26">
        <v>8.2233333587646484</v>
      </c>
      <c r="L162" s="53">
        <v>0.20735056399139129</v>
      </c>
      <c r="M162" s="30">
        <v>1</v>
      </c>
      <c r="O162" s="83">
        <f t="shared" si="15"/>
        <v>0.36032137291376387</v>
      </c>
    </row>
    <row r="163" spans="1:44" ht="15.5">
      <c r="A163" s="25">
        <v>10</v>
      </c>
      <c r="B163" s="26">
        <v>4.940000057220459</v>
      </c>
      <c r="C163" s="27">
        <v>5.2600000699361162</v>
      </c>
      <c r="D163" s="26">
        <v>5.8933334350585938</v>
      </c>
      <c r="E163" s="53">
        <v>-8.4686775936684222E-2</v>
      </c>
      <c r="F163" s="30">
        <v>1</v>
      </c>
      <c r="H163" s="25">
        <v>10</v>
      </c>
      <c r="I163" s="26">
        <v>5.7100000381469727</v>
      </c>
      <c r="J163" s="27">
        <v>7.1966667175292969</v>
      </c>
      <c r="K163" s="26">
        <v>7.7466665903727217</v>
      </c>
      <c r="L163" s="53">
        <v>0.1843116124367922</v>
      </c>
      <c r="M163" s="30">
        <v>1</v>
      </c>
      <c r="O163" s="83">
        <f t="shared" si="15"/>
        <v>0.36818757069269425</v>
      </c>
    </row>
    <row r="164" spans="1:44" ht="15.5">
      <c r="A164" s="25">
        <v>20</v>
      </c>
      <c r="B164" s="26">
        <v>4.75</v>
      </c>
      <c r="C164" s="27">
        <v>4.9833332697550459</v>
      </c>
      <c r="D164" s="26">
        <v>5.6500000953674316</v>
      </c>
      <c r="E164" s="53">
        <v>-0.13283064998573765</v>
      </c>
      <c r="F164" s="30">
        <v>1</v>
      </c>
      <c r="H164" s="25">
        <v>20</v>
      </c>
      <c r="I164" s="26">
        <v>5.8266666730244951</v>
      </c>
      <c r="J164" s="27">
        <v>6.8566667238871259</v>
      </c>
      <c r="K164" s="26">
        <v>7.9433334668477373</v>
      </c>
      <c r="L164" s="53">
        <v>0.12835988415707847</v>
      </c>
      <c r="M164" s="30">
        <v>1</v>
      </c>
      <c r="O164" s="83">
        <f t="shared" si="15"/>
        <v>0.37591976147807654</v>
      </c>
    </row>
    <row r="165" spans="1:44" ht="15.5">
      <c r="A165" s="25">
        <v>50</v>
      </c>
      <c r="B165" s="26">
        <v>4.6600000063578291</v>
      </c>
      <c r="C165" s="27">
        <v>4.9699999491373701</v>
      </c>
      <c r="D165" s="26">
        <v>6.0566666920979815</v>
      </c>
      <c r="E165" s="53">
        <v>-0.13515083335451525</v>
      </c>
      <c r="F165" s="30">
        <v>1</v>
      </c>
      <c r="H165" s="25">
        <v>50</v>
      </c>
      <c r="I165" s="26">
        <v>6.0433332125345869</v>
      </c>
      <c r="J165" s="27">
        <v>7.1499999364217119</v>
      </c>
      <c r="K165" s="26">
        <v>7.726666609446208</v>
      </c>
      <c r="L165" s="53">
        <v>0.17663194448077313</v>
      </c>
      <c r="M165" s="30">
        <v>1</v>
      </c>
      <c r="O165" s="83">
        <f t="shared" si="15"/>
        <v>0.43863179267491115</v>
      </c>
    </row>
    <row r="166" spans="1:44" s="47" customFormat="1" ht="16" thickBot="1">
      <c r="A166" s="32">
        <v>100</v>
      </c>
      <c r="B166" s="33">
        <v>4.6833332379659014</v>
      </c>
      <c r="C166" s="34">
        <v>4.9866665204366045</v>
      </c>
      <c r="D166" s="33">
        <v>5.8366665840148926</v>
      </c>
      <c r="E166" s="41">
        <v>-0.13225061797292711</v>
      </c>
      <c r="F166" s="42">
        <v>1</v>
      </c>
      <c r="G166"/>
      <c r="H166" s="32">
        <v>100</v>
      </c>
      <c r="I166" s="33">
        <v>6.0933334032694502</v>
      </c>
      <c r="J166" s="34">
        <v>7.0733332633972168</v>
      </c>
      <c r="K166" s="33">
        <v>7.7633333206176758</v>
      </c>
      <c r="L166" s="41">
        <v>0.16401537701786081</v>
      </c>
      <c r="M166" s="42">
        <v>1</v>
      </c>
      <c r="N166"/>
      <c r="O166" s="83">
        <f t="shared" si="15"/>
        <v>0.41844922543124369</v>
      </c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 ht="15" thickBot="1">
      <c r="A167" s="1"/>
      <c r="B167" s="1"/>
      <c r="C167" s="1"/>
      <c r="D167" s="1"/>
      <c r="E167" s="1"/>
      <c r="F167" s="1"/>
      <c r="H167" s="1"/>
      <c r="I167" s="1"/>
      <c r="J167" s="1"/>
      <c r="K167" s="1"/>
      <c r="L167" s="1"/>
      <c r="M167" s="1"/>
      <c r="O167" s="87"/>
    </row>
    <row r="168" spans="1:44" ht="22.25" customHeight="1" thickBot="1">
      <c r="A168" s="70" t="s">
        <v>37</v>
      </c>
      <c r="B168" s="71"/>
      <c r="C168" s="71"/>
      <c r="D168" s="71"/>
      <c r="E168" s="71"/>
      <c r="F168" s="71"/>
      <c r="G168" s="72"/>
      <c r="H168" s="70" t="s">
        <v>37</v>
      </c>
      <c r="I168" s="71"/>
      <c r="J168" s="71"/>
      <c r="K168" s="71"/>
      <c r="L168" s="71"/>
      <c r="M168" s="71"/>
      <c r="N168" s="72"/>
      <c r="O168" s="87"/>
    </row>
    <row r="169" spans="1:44" ht="26">
      <c r="A169" s="48" t="s">
        <v>14</v>
      </c>
      <c r="B169" s="49" t="s">
        <v>15</v>
      </c>
      <c r="C169" s="49" t="s">
        <v>0</v>
      </c>
      <c r="D169" s="49" t="s">
        <v>1</v>
      </c>
      <c r="E169" s="49" t="s">
        <v>16</v>
      </c>
      <c r="F169" s="50" t="s">
        <v>17</v>
      </c>
      <c r="G169" s="47"/>
      <c r="H169" s="48" t="s">
        <v>14</v>
      </c>
      <c r="I169" s="49" t="s">
        <v>15</v>
      </c>
      <c r="J169" s="49" t="s">
        <v>0</v>
      </c>
      <c r="K169" s="49" t="s">
        <v>1</v>
      </c>
      <c r="L169" s="49" t="s">
        <v>16</v>
      </c>
      <c r="M169" s="50" t="s">
        <v>17</v>
      </c>
      <c r="N169" s="47"/>
      <c r="O169" s="88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</row>
    <row r="170" spans="1:44" ht="15.5">
      <c r="A170" s="25">
        <v>1</v>
      </c>
      <c r="B170" s="26">
        <v>7.2966666221618652</v>
      </c>
      <c r="C170" s="27">
        <v>7.2966666221618652</v>
      </c>
      <c r="D170" s="26">
        <v>7.2966666221618652</v>
      </c>
      <c r="E170" s="54" t="s">
        <v>18</v>
      </c>
      <c r="F170" s="30">
        <v>1</v>
      </c>
      <c r="H170" s="25">
        <v>1</v>
      </c>
      <c r="I170" s="26">
        <v>6.2566666603088379</v>
      </c>
      <c r="J170" s="27">
        <v>6.2566666603088379</v>
      </c>
      <c r="K170" s="26">
        <v>6.2566666603088379</v>
      </c>
      <c r="L170" s="54" t="s">
        <v>18</v>
      </c>
      <c r="M170" s="30">
        <v>1</v>
      </c>
      <c r="O170" s="89">
        <f t="shared" ref="O170:O175" si="16">(J170-C170)/C170</f>
        <v>-0.1425308316395158</v>
      </c>
    </row>
    <row r="171" spans="1:44" ht="15.5">
      <c r="A171" s="25">
        <v>5</v>
      </c>
      <c r="B171" s="26">
        <v>7.1266665458679199</v>
      </c>
      <c r="C171" s="27">
        <v>7.4066667556762695</v>
      </c>
      <c r="D171" s="26">
        <v>7.9633331298828125</v>
      </c>
      <c r="E171" s="53">
        <v>1.5075395274371645E-2</v>
      </c>
      <c r="F171" s="30">
        <v>1</v>
      </c>
      <c r="H171" s="25">
        <v>5</v>
      </c>
      <c r="I171" s="26">
        <v>5.6399998664855957</v>
      </c>
      <c r="J171" s="27">
        <v>6.0533334414164228</v>
      </c>
      <c r="K171" s="26">
        <v>6.8466666539510088</v>
      </c>
      <c r="L171" s="53">
        <v>-3.2498649829361098E-2</v>
      </c>
      <c r="M171" s="30">
        <v>1</v>
      </c>
      <c r="O171" s="89">
        <f t="shared" si="16"/>
        <v>-0.18271826705618807</v>
      </c>
    </row>
    <row r="172" spans="1:44" ht="15.5">
      <c r="A172" s="25">
        <v>10</v>
      </c>
      <c r="B172" s="26">
        <v>7.0933332443237305</v>
      </c>
      <c r="C172" s="27">
        <v>7.4000000953674316</v>
      </c>
      <c r="D172" s="26">
        <v>8.0799999237060547</v>
      </c>
      <c r="E172" s="53">
        <v>1.4161736935015764E-2</v>
      </c>
      <c r="F172" s="30">
        <v>1</v>
      </c>
      <c r="H172" s="25">
        <v>10</v>
      </c>
      <c r="I172" s="26">
        <v>5.3966668446858721</v>
      </c>
      <c r="J172" s="27">
        <v>5.7566666603088379</v>
      </c>
      <c r="K172" s="26">
        <v>7.0233335494995117</v>
      </c>
      <c r="L172" s="53">
        <v>-7.9914757673108849E-2</v>
      </c>
      <c r="M172" s="30">
        <v>1</v>
      </c>
      <c r="O172" s="95">
        <f t="shared" si="16"/>
        <v>-0.22207208295677697</v>
      </c>
    </row>
    <row r="173" spans="1:44" ht="15.5">
      <c r="A173" s="25">
        <v>20</v>
      </c>
      <c r="B173" s="26">
        <v>6.8933332761128741</v>
      </c>
      <c r="C173" s="27">
        <v>7.2933333714803057</v>
      </c>
      <c r="D173" s="26">
        <v>7.84666649500529</v>
      </c>
      <c r="E173" s="53">
        <v>-4.5681827801144097E-4</v>
      </c>
      <c r="F173" s="30">
        <v>1</v>
      </c>
      <c r="H173" s="25">
        <v>20</v>
      </c>
      <c r="I173" s="26">
        <v>5.190000057220459</v>
      </c>
      <c r="J173" s="27">
        <v>5.6166667938232422</v>
      </c>
      <c r="K173" s="26">
        <v>6.6733334859212237</v>
      </c>
      <c r="L173" s="53">
        <v>-0.10229086848203679</v>
      </c>
      <c r="M173" s="30">
        <v>1</v>
      </c>
      <c r="O173" s="95">
        <f t="shared" si="16"/>
        <v>-0.22989029737944855</v>
      </c>
    </row>
    <row r="174" spans="1:44" ht="15.5">
      <c r="A174" s="25">
        <v>50</v>
      </c>
      <c r="B174" s="26">
        <v>6.7599999109903974</v>
      </c>
      <c r="C174" s="27">
        <v>7.1966667175292969</v>
      </c>
      <c r="D174" s="26">
        <v>7.790000120798747</v>
      </c>
      <c r="E174" s="53">
        <v>-1.3704875090338206E-2</v>
      </c>
      <c r="F174" s="30">
        <v>1</v>
      </c>
      <c r="H174" s="25">
        <v>50</v>
      </c>
      <c r="I174" s="26">
        <v>5.1366666158040362</v>
      </c>
      <c r="J174" s="27">
        <v>5.4866666793823242</v>
      </c>
      <c r="K174" s="26">
        <v>6.7833331425984698</v>
      </c>
      <c r="L174" s="53">
        <v>-0.12306872376808155</v>
      </c>
      <c r="M174" s="30">
        <v>1</v>
      </c>
      <c r="O174" s="95">
        <f t="shared" si="16"/>
        <v>-0.23761000825310366</v>
      </c>
    </row>
    <row r="175" spans="1:44" ht="15.75" customHeight="1" thickBot="1">
      <c r="A175" s="32">
        <v>100</v>
      </c>
      <c r="B175" s="33">
        <v>6.8399999936421709</v>
      </c>
      <c r="C175" s="34">
        <v>7.3300000826517744</v>
      </c>
      <c r="D175" s="33">
        <v>10.603333473205566</v>
      </c>
      <c r="E175" s="51">
        <v>4.5683134801125218E-3</v>
      </c>
      <c r="F175" s="42">
        <v>1</v>
      </c>
      <c r="H175" s="32">
        <v>100</v>
      </c>
      <c r="I175" s="33">
        <v>5.1999999682108564</v>
      </c>
      <c r="J175" s="34">
        <v>5.8633333841959638</v>
      </c>
      <c r="K175" s="33">
        <v>7.2933333714803057</v>
      </c>
      <c r="L175" s="51">
        <v>-6.2866266890660688E-2</v>
      </c>
      <c r="M175" s="42">
        <v>1</v>
      </c>
      <c r="O175" s="95">
        <f t="shared" si="16"/>
        <v>-0.20009095251267917</v>
      </c>
    </row>
    <row r="176" spans="1:44" ht="15" thickBot="1"/>
    <row r="177" spans="1:44" ht="16.25" customHeight="1" thickBot="1">
      <c r="A177" s="70" t="s">
        <v>38</v>
      </c>
      <c r="B177" s="71"/>
      <c r="C177" s="71"/>
      <c r="D177" s="71"/>
      <c r="E177" s="71"/>
      <c r="F177" s="71"/>
      <c r="G177" s="72"/>
      <c r="H177" s="70" t="s">
        <v>38</v>
      </c>
      <c r="I177" s="71"/>
      <c r="J177" s="71"/>
      <c r="K177" s="71"/>
      <c r="L177" s="71"/>
      <c r="M177" s="71"/>
      <c r="N177" s="72"/>
      <c r="O177" s="87"/>
    </row>
    <row r="178" spans="1:44" ht="26">
      <c r="A178" s="48" t="s">
        <v>14</v>
      </c>
      <c r="B178" s="49" t="s">
        <v>15</v>
      </c>
      <c r="C178" s="49" t="s">
        <v>0</v>
      </c>
      <c r="D178" s="49" t="s">
        <v>1</v>
      </c>
      <c r="E178" s="49" t="s">
        <v>16</v>
      </c>
      <c r="F178" s="50" t="s">
        <v>17</v>
      </c>
      <c r="G178" s="47"/>
      <c r="H178" s="48" t="s">
        <v>14</v>
      </c>
      <c r="I178" s="49" t="s">
        <v>15</v>
      </c>
      <c r="J178" s="49" t="s">
        <v>0</v>
      </c>
      <c r="K178" s="49" t="s">
        <v>1</v>
      </c>
      <c r="L178" s="49" t="s">
        <v>16</v>
      </c>
      <c r="M178" s="50" t="s">
        <v>17</v>
      </c>
      <c r="N178" s="47"/>
      <c r="O178" s="88"/>
      <c r="P178" s="47"/>
      <c r="Q178" s="47"/>
      <c r="R178" s="61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</row>
    <row r="179" spans="1:44" ht="15.5">
      <c r="A179" s="25">
        <v>1</v>
      </c>
      <c r="B179" s="26">
        <v>13.053333282470703</v>
      </c>
      <c r="C179" s="27">
        <v>13.053333282470703</v>
      </c>
      <c r="D179" s="26">
        <v>13.053333282470703</v>
      </c>
      <c r="E179" s="54" t="s">
        <v>18</v>
      </c>
      <c r="F179" s="30">
        <v>1</v>
      </c>
      <c r="H179" s="25">
        <v>1</v>
      </c>
      <c r="I179" s="26">
        <v>15.376666704813639</v>
      </c>
      <c r="J179" s="27">
        <v>15.376666704813639</v>
      </c>
      <c r="K179" s="26">
        <v>15.376666704813639</v>
      </c>
      <c r="L179" s="54" t="s">
        <v>18</v>
      </c>
      <c r="M179" s="30">
        <v>1</v>
      </c>
      <c r="O179" s="89">
        <f t="shared" ref="O179:O184" si="17">(J179-C179)/C179</f>
        <v>0.17798775010693518</v>
      </c>
    </row>
    <row r="180" spans="1:44" ht="15.5">
      <c r="A180" s="25">
        <v>5</v>
      </c>
      <c r="B180" s="26">
        <v>14.076666514078775</v>
      </c>
      <c r="C180" s="27">
        <v>14.446666717529297</v>
      </c>
      <c r="D180" s="26">
        <v>14.800000190734863</v>
      </c>
      <c r="E180" s="52">
        <v>0.10674158124267757</v>
      </c>
      <c r="F180" s="30">
        <v>1</v>
      </c>
      <c r="H180" s="25">
        <v>5</v>
      </c>
      <c r="I180" s="26">
        <v>17.28333346048991</v>
      </c>
      <c r="J180" s="27">
        <v>18.126667022705078</v>
      </c>
      <c r="K180" s="26">
        <v>19.056666692097981</v>
      </c>
      <c r="L180" s="52">
        <v>0.17884242213759868</v>
      </c>
      <c r="M180" s="30">
        <v>1</v>
      </c>
      <c r="O180" s="83">
        <f t="shared" si="17"/>
        <v>0.25473006175954366</v>
      </c>
    </row>
    <row r="181" spans="1:44" ht="15.5">
      <c r="A181" s="25">
        <v>10</v>
      </c>
      <c r="B181" s="26">
        <v>15.280000050862631</v>
      </c>
      <c r="C181" s="27">
        <v>16.400000254313152</v>
      </c>
      <c r="D181" s="26">
        <v>17.28999964396159</v>
      </c>
      <c r="E181" s="52">
        <v>0.25638408975098198</v>
      </c>
      <c r="F181" s="30">
        <v>1</v>
      </c>
      <c r="H181" s="25">
        <v>10</v>
      </c>
      <c r="I181" s="26">
        <v>16.486666679382324</v>
      </c>
      <c r="J181" s="27">
        <v>17.939999898274738</v>
      </c>
      <c r="K181" s="26">
        <v>18.846666971842449</v>
      </c>
      <c r="L181" s="52">
        <v>0.16670278693487273</v>
      </c>
      <c r="M181" s="30">
        <v>1</v>
      </c>
      <c r="O181" s="89">
        <f t="shared" si="17"/>
        <v>9.3902415858595531E-2</v>
      </c>
    </row>
    <row r="182" spans="1:44" ht="15.5">
      <c r="A182" s="25">
        <v>20</v>
      </c>
      <c r="B182" s="26">
        <v>16.46000035603841</v>
      </c>
      <c r="C182" s="27">
        <v>17.850000381469727</v>
      </c>
      <c r="D182" s="26">
        <v>18.823333740234375</v>
      </c>
      <c r="E182" s="52">
        <v>0.36746683741236108</v>
      </c>
      <c r="F182" s="30">
        <v>1</v>
      </c>
      <c r="H182" s="25">
        <v>20</v>
      </c>
      <c r="I182" s="26">
        <v>15.383333524068197</v>
      </c>
      <c r="J182" s="27">
        <v>16.763333320617676</v>
      </c>
      <c r="K182" s="26">
        <v>18.013333638509113</v>
      </c>
      <c r="L182" s="52">
        <v>9.01799227637511E-2</v>
      </c>
      <c r="M182" s="30">
        <v>1</v>
      </c>
      <c r="O182" s="89">
        <f t="shared" si="17"/>
        <v>-6.0877705189302481E-2</v>
      </c>
    </row>
    <row r="183" spans="1:44" ht="15.5">
      <c r="A183" s="25">
        <v>50</v>
      </c>
      <c r="B183" s="26">
        <v>15.143333435058594</v>
      </c>
      <c r="C183" s="27">
        <v>15.716666539510092</v>
      </c>
      <c r="D183" s="26">
        <v>16.393333435058594</v>
      </c>
      <c r="E183" s="53">
        <v>0.20403472426586808</v>
      </c>
      <c r="F183" s="30">
        <v>1</v>
      </c>
      <c r="H183" s="25">
        <v>50</v>
      </c>
      <c r="I183" s="26">
        <v>14.476666450500488</v>
      </c>
      <c r="J183" s="27">
        <v>15.143333117167154</v>
      </c>
      <c r="K183" s="26">
        <v>16.420000076293945</v>
      </c>
      <c r="L183" s="53">
        <v>-1.51745233297825E-2</v>
      </c>
      <c r="M183" s="30">
        <v>1</v>
      </c>
      <c r="O183" s="89">
        <f t="shared" si="17"/>
        <v>-3.6479327273479766E-2</v>
      </c>
    </row>
    <row r="184" spans="1:44" ht="15.75" customHeight="1" thickBot="1">
      <c r="A184" s="32">
        <v>100</v>
      </c>
      <c r="B184" s="35">
        <v>15.756666501363119</v>
      </c>
      <c r="C184" s="34">
        <v>16.426666895548504</v>
      </c>
      <c r="D184" s="60">
        <v>18.366666793823242</v>
      </c>
      <c r="E184" s="51">
        <v>0.25842698872998549</v>
      </c>
      <c r="F184" s="42">
        <v>1</v>
      </c>
      <c r="H184" s="32">
        <v>100</v>
      </c>
      <c r="I184" s="35">
        <v>14.949999809265137</v>
      </c>
      <c r="J184" s="34">
        <v>15.716666857401529</v>
      </c>
      <c r="K184" s="60">
        <v>17.770000457763672</v>
      </c>
      <c r="L184" s="51">
        <v>2.2111434104340324E-2</v>
      </c>
      <c r="M184" s="42">
        <v>1</v>
      </c>
      <c r="O184" s="89">
        <f t="shared" si="17"/>
        <v>-4.3222404317419916E-2</v>
      </c>
    </row>
    <row r="185" spans="1:44" ht="15.75" customHeight="1" thickBot="1"/>
    <row r="186" spans="1:44" ht="16.25" customHeight="1" thickBot="1">
      <c r="A186" s="70" t="s">
        <v>39</v>
      </c>
      <c r="B186" s="71"/>
      <c r="C186" s="71"/>
      <c r="D186" s="71"/>
      <c r="E186" s="71"/>
      <c r="F186" s="71"/>
      <c r="G186" s="71"/>
      <c r="H186" s="70" t="s">
        <v>39</v>
      </c>
      <c r="I186" s="71"/>
      <c r="J186" s="71"/>
      <c r="K186" s="71"/>
      <c r="L186" s="71"/>
      <c r="M186" s="71"/>
      <c r="N186" s="71"/>
      <c r="O186" s="87"/>
    </row>
    <row r="187" spans="1:44" ht="26">
      <c r="A187" s="48" t="s">
        <v>14</v>
      </c>
      <c r="B187" s="49" t="s">
        <v>15</v>
      </c>
      <c r="C187" s="49" t="s">
        <v>0</v>
      </c>
      <c r="D187" s="49" t="s">
        <v>1</v>
      </c>
      <c r="E187" s="49" t="s">
        <v>16</v>
      </c>
      <c r="F187" s="50" t="s">
        <v>17</v>
      </c>
      <c r="G187" s="47"/>
      <c r="H187" s="48" t="s">
        <v>14</v>
      </c>
      <c r="I187" s="49" t="s">
        <v>15</v>
      </c>
      <c r="J187" s="49" t="s">
        <v>0</v>
      </c>
      <c r="K187" s="49" t="s">
        <v>1</v>
      </c>
      <c r="L187" s="49" t="s">
        <v>16</v>
      </c>
      <c r="M187" s="50" t="s">
        <v>17</v>
      </c>
      <c r="N187" s="47"/>
      <c r="O187" s="88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</row>
    <row r="188" spans="1:44" ht="15.5">
      <c r="A188" s="25">
        <v>1</v>
      </c>
      <c r="B188" s="26">
        <v>6.1499999364217119</v>
      </c>
      <c r="C188" s="27">
        <v>6.1499999364217119</v>
      </c>
      <c r="D188" s="26">
        <v>6.1499999364217119</v>
      </c>
      <c r="E188" s="54" t="s">
        <v>18</v>
      </c>
      <c r="F188" s="30">
        <v>1</v>
      </c>
      <c r="H188" s="25">
        <v>1</v>
      </c>
      <c r="I188" s="26">
        <v>5.6166667938232422</v>
      </c>
      <c r="J188" s="27">
        <v>5.6166667938232422</v>
      </c>
      <c r="K188" s="26">
        <v>5.6166667938232422</v>
      </c>
      <c r="L188" s="54" t="s">
        <v>18</v>
      </c>
      <c r="M188" s="30">
        <v>1</v>
      </c>
      <c r="O188" s="89">
        <f t="shared" ref="O188:O193" si="18">(J188-C188)/C188</f>
        <v>-8.6720837091387337E-2</v>
      </c>
    </row>
    <row r="189" spans="1:44" ht="15.5">
      <c r="A189" s="25">
        <v>5</v>
      </c>
      <c r="B189" s="26">
        <v>5.3799999554951983</v>
      </c>
      <c r="C189" s="27">
        <v>5.6999999682108564</v>
      </c>
      <c r="D189" s="26">
        <v>6.2933333714803057</v>
      </c>
      <c r="E189" s="53">
        <v>-7.3170727294784577E-2</v>
      </c>
      <c r="F189" s="30">
        <v>1</v>
      </c>
      <c r="H189" s="25">
        <v>5</v>
      </c>
      <c r="I189" s="26">
        <v>4.8266666730244951</v>
      </c>
      <c r="J189" s="27">
        <v>5.1433334350585938</v>
      </c>
      <c r="K189" s="26">
        <v>5.8566665649414063</v>
      </c>
      <c r="L189" s="53">
        <v>-8.427299965260221E-2</v>
      </c>
      <c r="M189" s="30">
        <v>1</v>
      </c>
      <c r="O189" s="89">
        <f t="shared" si="18"/>
        <v>-9.7660795834529079E-2</v>
      </c>
    </row>
    <row r="190" spans="1:44" ht="15.5">
      <c r="A190" s="25">
        <v>10</v>
      </c>
      <c r="B190" s="26">
        <v>5.2433333396911621</v>
      </c>
      <c r="C190" s="27">
        <v>5.5666667620340986</v>
      </c>
      <c r="D190" s="26">
        <v>6.3033332824707031</v>
      </c>
      <c r="E190" s="53">
        <v>-9.4850923645215066E-2</v>
      </c>
      <c r="F190" s="30">
        <v>1</v>
      </c>
      <c r="H190" s="25">
        <v>10</v>
      </c>
      <c r="I190" s="26">
        <v>4.7199999491373701</v>
      </c>
      <c r="J190" s="27">
        <v>5.0200001398722334</v>
      </c>
      <c r="K190" s="26">
        <v>5.8866667747497559</v>
      </c>
      <c r="L190" s="53">
        <v>-0.10623144933702935</v>
      </c>
      <c r="M190" s="30">
        <v>1</v>
      </c>
      <c r="O190" s="89">
        <f t="shared" si="18"/>
        <v>-9.820358313708534E-2</v>
      </c>
    </row>
    <row r="191" spans="1:44" ht="15.5">
      <c r="A191" s="25">
        <v>20</v>
      </c>
      <c r="B191" s="26">
        <v>5.2033333778381348</v>
      </c>
      <c r="C191" s="27">
        <v>5.4866666793823242</v>
      </c>
      <c r="D191" s="26">
        <v>6.2966666221618652</v>
      </c>
      <c r="E191" s="53">
        <v>-0.10785906730030612</v>
      </c>
      <c r="F191" s="30">
        <v>1</v>
      </c>
      <c r="H191" s="25">
        <v>20</v>
      </c>
      <c r="I191" s="26">
        <v>4.4066667556762695</v>
      </c>
      <c r="J191" s="27">
        <v>4.7433333396911621</v>
      </c>
      <c r="K191" s="26">
        <v>6.0733332633972168</v>
      </c>
      <c r="L191" s="53">
        <v>-0.15548963223036516</v>
      </c>
      <c r="M191" s="30">
        <v>1</v>
      </c>
      <c r="O191" s="89">
        <f t="shared" si="18"/>
        <v>-0.1354799522421225</v>
      </c>
    </row>
    <row r="192" spans="1:44" ht="15.5">
      <c r="A192" s="25">
        <v>50</v>
      </c>
      <c r="B192" s="26">
        <v>5.1466666857401533</v>
      </c>
      <c r="C192" s="27">
        <v>5.3866666158040362</v>
      </c>
      <c r="D192" s="26">
        <v>6.2166666984558105</v>
      </c>
      <c r="E192" s="53">
        <v>-0.12411924040796173</v>
      </c>
      <c r="F192" s="30">
        <v>1</v>
      </c>
      <c r="H192" s="25">
        <v>50</v>
      </c>
      <c r="I192" s="26">
        <v>4.2600000699361162</v>
      </c>
      <c r="J192" s="27">
        <v>4.416666666666667</v>
      </c>
      <c r="K192" s="26">
        <v>5.5333331425984698</v>
      </c>
      <c r="L192" s="53">
        <v>-0.21364986943434827</v>
      </c>
      <c r="M192" s="30">
        <v>1</v>
      </c>
      <c r="O192" s="89">
        <f t="shared" si="18"/>
        <v>-0.18007424968374119</v>
      </c>
    </row>
    <row r="193" spans="1:44" ht="15.75" customHeight="1" thickBot="1">
      <c r="A193" s="32">
        <v>100</v>
      </c>
      <c r="B193" s="33">
        <v>5.1499999364217119</v>
      </c>
      <c r="C193" s="34">
        <v>5.3900000254313154</v>
      </c>
      <c r="D193" s="33">
        <v>6.3933332761128741</v>
      </c>
      <c r="E193" s="51">
        <v>-0.12357722257678452</v>
      </c>
      <c r="F193" s="42">
        <v>1</v>
      </c>
      <c r="H193" s="32">
        <v>100</v>
      </c>
      <c r="I193" s="33">
        <v>4.1699999173482256</v>
      </c>
      <c r="J193" s="34">
        <v>4.4100000063578291</v>
      </c>
      <c r="K193" s="33">
        <v>5.6066667238871259</v>
      </c>
      <c r="L193" s="51">
        <v>-0.21483681189569731</v>
      </c>
      <c r="M193" s="42">
        <v>1</v>
      </c>
      <c r="O193" s="89">
        <f t="shared" si="18"/>
        <v>-0.18181818449900014</v>
      </c>
    </row>
    <row r="194" spans="1:44" ht="15" thickBot="1"/>
    <row r="195" spans="1:44" ht="16.25" customHeight="1" thickBot="1">
      <c r="A195" s="73" t="s">
        <v>40</v>
      </c>
      <c r="B195" s="74"/>
      <c r="C195" s="74"/>
      <c r="D195" s="74"/>
      <c r="E195" s="74"/>
      <c r="F195" s="74"/>
      <c r="G195" s="72"/>
      <c r="H195" s="73" t="s">
        <v>40</v>
      </c>
      <c r="I195" s="74"/>
      <c r="J195" s="74"/>
      <c r="K195" s="74"/>
      <c r="L195" s="74"/>
      <c r="M195" s="74"/>
      <c r="N195" s="72"/>
      <c r="O195" s="87"/>
    </row>
    <row r="196" spans="1:44" ht="26">
      <c r="A196" s="48" t="s">
        <v>14</v>
      </c>
      <c r="B196" s="49" t="s">
        <v>15</v>
      </c>
      <c r="C196" s="49" t="s">
        <v>0</v>
      </c>
      <c r="D196" s="49" t="s">
        <v>1</v>
      </c>
      <c r="E196" s="49" t="s">
        <v>16</v>
      </c>
      <c r="F196" s="50" t="s">
        <v>17</v>
      </c>
      <c r="G196" s="47"/>
      <c r="H196" s="48" t="s">
        <v>14</v>
      </c>
      <c r="I196" s="49" t="s">
        <v>15</v>
      </c>
      <c r="J196" s="49" t="s">
        <v>0</v>
      </c>
      <c r="K196" s="49" t="s">
        <v>1</v>
      </c>
      <c r="L196" s="49" t="s">
        <v>16</v>
      </c>
      <c r="M196" s="50" t="s">
        <v>17</v>
      </c>
      <c r="N196" s="47"/>
      <c r="O196" s="88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  <c r="AB196" s="47"/>
      <c r="AC196" s="47"/>
      <c r="AD196" s="47"/>
      <c r="AE196" s="47"/>
      <c r="AF196" s="47"/>
      <c r="AG196" s="47"/>
      <c r="AH196" s="47"/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</row>
    <row r="197" spans="1:44" ht="15.5">
      <c r="A197" s="25">
        <v>1</v>
      </c>
      <c r="B197" s="26">
        <v>5.9833334287007647</v>
      </c>
      <c r="C197" s="27">
        <v>5.9833334287007647</v>
      </c>
      <c r="D197" s="26">
        <v>5.9833334287007647</v>
      </c>
      <c r="E197" s="54" t="s">
        <v>18</v>
      </c>
      <c r="F197" s="30">
        <v>1</v>
      </c>
      <c r="H197" s="25">
        <v>1</v>
      </c>
      <c r="I197" s="26">
        <v>4.8399999936421709</v>
      </c>
      <c r="J197" s="27">
        <v>4.8399999936421709</v>
      </c>
      <c r="K197" s="26">
        <v>4.8399999936421709</v>
      </c>
      <c r="L197" s="54" t="s">
        <v>18</v>
      </c>
      <c r="M197" s="30">
        <v>1</v>
      </c>
      <c r="O197" s="89">
        <f t="shared" ref="O197:O202" si="19">(J197-C197)/C197</f>
        <v>-0.19108636493067041</v>
      </c>
    </row>
    <row r="198" spans="1:44" ht="15.5">
      <c r="A198" s="25">
        <v>5</v>
      </c>
      <c r="B198" s="26">
        <v>5.3533331553141279</v>
      </c>
      <c r="C198" s="27">
        <v>5.6099999745686846</v>
      </c>
      <c r="D198" s="26">
        <v>6.0666667620340986</v>
      </c>
      <c r="E198" s="53">
        <v>-6.2395562370179763E-2</v>
      </c>
      <c r="F198" s="30">
        <v>1</v>
      </c>
      <c r="H198" s="25">
        <v>5</v>
      </c>
      <c r="I198" s="26">
        <v>3.7666666507720947</v>
      </c>
      <c r="J198" s="27">
        <v>4.0433335304260254</v>
      </c>
      <c r="K198" s="26">
        <v>4.6700000762939453</v>
      </c>
      <c r="L198" s="53">
        <v>-0.1646005091451751</v>
      </c>
      <c r="M198" s="30">
        <v>1</v>
      </c>
      <c r="O198" s="95">
        <f t="shared" si="19"/>
        <v>-0.27926318204005157</v>
      </c>
    </row>
    <row r="199" spans="1:44" ht="15.5">
      <c r="A199" s="25">
        <v>10</v>
      </c>
      <c r="B199" s="26">
        <v>5.3766667048136396</v>
      </c>
      <c r="C199" s="27">
        <v>5.7133332888285322</v>
      </c>
      <c r="D199" s="26">
        <v>6.4266667366027832</v>
      </c>
      <c r="E199" s="53">
        <v>-4.5125370847143471E-2</v>
      </c>
      <c r="F199" s="30">
        <v>1</v>
      </c>
      <c r="H199" s="25">
        <v>10</v>
      </c>
      <c r="I199" s="26">
        <v>3.6966667175292969</v>
      </c>
      <c r="J199" s="27">
        <v>3.9333333969116211</v>
      </c>
      <c r="K199" s="26">
        <v>4.8433334032694502</v>
      </c>
      <c r="L199" s="53">
        <v>-0.18732780948792316</v>
      </c>
      <c r="M199" s="30">
        <v>1</v>
      </c>
      <c r="O199" s="95">
        <f t="shared" si="19"/>
        <v>-0.31155190883007006</v>
      </c>
    </row>
    <row r="200" spans="1:44" ht="15.5">
      <c r="A200" s="25">
        <v>20</v>
      </c>
      <c r="B200" s="26">
        <v>5.1766667366027832</v>
      </c>
      <c r="C200" s="27">
        <v>5.5199999809265137</v>
      </c>
      <c r="D200" s="26">
        <v>6.4066667556762695</v>
      </c>
      <c r="E200" s="53">
        <v>-7.7437343797646316E-2</v>
      </c>
      <c r="F200" s="30">
        <v>1</v>
      </c>
      <c r="H200" s="25">
        <v>20</v>
      </c>
      <c r="I200" s="26">
        <v>3.6366666158040366</v>
      </c>
      <c r="J200" s="27">
        <v>3.8733332951863608</v>
      </c>
      <c r="K200" s="26">
        <v>4.9633332888285322</v>
      </c>
      <c r="L200" s="53">
        <v>-0.19972452473669927</v>
      </c>
      <c r="M200" s="30">
        <v>1</v>
      </c>
      <c r="O200" s="95">
        <f t="shared" si="19"/>
        <v>-0.29830918323006322</v>
      </c>
    </row>
    <row r="201" spans="1:44" ht="15.5">
      <c r="A201" s="25">
        <v>50</v>
      </c>
      <c r="B201" s="26">
        <v>5.083333333333333</v>
      </c>
      <c r="C201" s="27">
        <v>5.3933332761128741</v>
      </c>
      <c r="D201" s="26">
        <v>6.269999821980794</v>
      </c>
      <c r="E201" s="53">
        <v>-9.8607266270301211E-2</v>
      </c>
      <c r="F201" s="30">
        <v>1</v>
      </c>
      <c r="H201" s="25">
        <v>50</v>
      </c>
      <c r="I201" s="26">
        <v>3.5233333110809326</v>
      </c>
      <c r="J201" s="27">
        <v>3.8166666030883789</v>
      </c>
      <c r="K201" s="26">
        <v>4.8233334223429365</v>
      </c>
      <c r="L201" s="53">
        <v>-0.21143251898719914</v>
      </c>
      <c r="M201" s="30">
        <v>1</v>
      </c>
      <c r="O201" s="95">
        <f t="shared" si="19"/>
        <v>-0.29233622183290014</v>
      </c>
    </row>
    <row r="202" spans="1:44" ht="15.75" customHeight="1" thickBot="1">
      <c r="A202" s="32">
        <v>100</v>
      </c>
      <c r="B202" s="33">
        <v>5.0033334096272783</v>
      </c>
      <c r="C202" s="34">
        <v>5.290000120798747</v>
      </c>
      <c r="D202" s="33">
        <v>6.2666667302449541</v>
      </c>
      <c r="E202" s="51">
        <v>-0.11587743122859354</v>
      </c>
      <c r="F202" s="42">
        <v>1</v>
      </c>
      <c r="H202" s="32">
        <v>100</v>
      </c>
      <c r="I202" s="33">
        <v>3.5333333015441895</v>
      </c>
      <c r="J202" s="34">
        <v>3.7866666316986084</v>
      </c>
      <c r="K202" s="33">
        <v>4.9466667175292969</v>
      </c>
      <c r="L202" s="51">
        <v>-0.21763086019157488</v>
      </c>
      <c r="M202" s="42">
        <v>1</v>
      </c>
      <c r="O202" s="95">
        <f t="shared" si="19"/>
        <v>-0.2841840179151352</v>
      </c>
    </row>
    <row r="203" spans="1:44" ht="15" thickBot="1"/>
    <row r="204" spans="1:44" ht="36" customHeight="1" thickBot="1">
      <c r="A204" s="70" t="s">
        <v>41</v>
      </c>
      <c r="B204" s="71"/>
      <c r="C204" s="71"/>
      <c r="D204" s="71"/>
      <c r="E204" s="71"/>
      <c r="F204" s="71"/>
      <c r="G204" s="72"/>
      <c r="H204" s="70" t="s">
        <v>41</v>
      </c>
      <c r="I204" s="71"/>
      <c r="J204" s="71"/>
      <c r="K204" s="71"/>
      <c r="L204" s="71"/>
      <c r="M204" s="71"/>
      <c r="N204" s="72"/>
      <c r="O204" s="87"/>
    </row>
    <row r="205" spans="1:44" ht="26">
      <c r="A205" s="48" t="s">
        <v>14</v>
      </c>
      <c r="B205" s="49" t="s">
        <v>15</v>
      </c>
      <c r="C205" s="49" t="s">
        <v>0</v>
      </c>
      <c r="D205" s="49" t="s">
        <v>1</v>
      </c>
      <c r="E205" s="49" t="s">
        <v>16</v>
      </c>
      <c r="F205" s="50" t="s">
        <v>17</v>
      </c>
      <c r="G205" s="47"/>
      <c r="H205" s="48" t="s">
        <v>14</v>
      </c>
      <c r="I205" s="49" t="s">
        <v>15</v>
      </c>
      <c r="J205" s="49" t="s">
        <v>0</v>
      </c>
      <c r="K205" s="49" t="s">
        <v>1</v>
      </c>
      <c r="L205" s="49" t="s">
        <v>16</v>
      </c>
      <c r="M205" s="50" t="s">
        <v>17</v>
      </c>
      <c r="N205" s="47"/>
      <c r="O205" s="88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</row>
    <row r="206" spans="1:44" ht="15.5">
      <c r="A206" s="25">
        <v>1</v>
      </c>
      <c r="B206" s="26">
        <v>5.7799998919169111</v>
      </c>
      <c r="C206" s="27">
        <v>5.7799998919169111</v>
      </c>
      <c r="D206" s="26">
        <v>5.7799998919169111</v>
      </c>
      <c r="E206" s="54" t="s">
        <v>18</v>
      </c>
      <c r="F206" s="30">
        <v>1</v>
      </c>
      <c r="H206" s="25">
        <v>1</v>
      </c>
      <c r="I206" s="26">
        <v>6.1366667747497559</v>
      </c>
      <c r="J206" s="27">
        <v>6.1366667747497559</v>
      </c>
      <c r="K206" s="26">
        <v>6.1366667747497559</v>
      </c>
      <c r="L206" s="54" t="s">
        <v>18</v>
      </c>
      <c r="M206" s="30">
        <v>1</v>
      </c>
      <c r="O206" s="89">
        <f t="shared" ref="O206:O211" si="20">(J206-C206)/C206</f>
        <v>6.1707074308362621E-2</v>
      </c>
    </row>
    <row r="207" spans="1:44" ht="15.5">
      <c r="A207" s="25">
        <v>5</v>
      </c>
      <c r="B207" s="26">
        <v>4.8633333841959638</v>
      </c>
      <c r="C207" s="27">
        <v>5.1866666475931806</v>
      </c>
      <c r="D207" s="26">
        <v>5.8033332824707031</v>
      </c>
      <c r="E207" s="53">
        <v>-0.10265281235618746</v>
      </c>
      <c r="F207" s="30">
        <v>1</v>
      </c>
      <c r="H207" s="25">
        <v>5</v>
      </c>
      <c r="I207" s="26">
        <v>4.6466666857401533</v>
      </c>
      <c r="J207" s="27">
        <v>5.0133334795633955</v>
      </c>
      <c r="K207" s="26">
        <v>5.7833333015441895</v>
      </c>
      <c r="L207" s="53">
        <v>-0.18305267931582747</v>
      </c>
      <c r="M207" s="30">
        <v>1</v>
      </c>
      <c r="O207" s="89">
        <f t="shared" si="20"/>
        <v>-3.3418991388277988E-2</v>
      </c>
    </row>
    <row r="208" spans="1:44" ht="15.5">
      <c r="A208" s="25">
        <v>10</v>
      </c>
      <c r="B208" s="26">
        <v>4.8033332824707031</v>
      </c>
      <c r="C208" s="27">
        <v>5.023333390553792</v>
      </c>
      <c r="D208" s="26">
        <v>5.8200000127156573</v>
      </c>
      <c r="E208" s="53">
        <v>-0.13091116185335672</v>
      </c>
      <c r="F208" s="30">
        <v>1</v>
      </c>
      <c r="H208" s="25">
        <v>10</v>
      </c>
      <c r="I208" s="26">
        <v>4.6099999745686846</v>
      </c>
      <c r="J208" s="27">
        <v>4.8900000254313154</v>
      </c>
      <c r="K208" s="26">
        <v>5.7300000190734863</v>
      </c>
      <c r="L208" s="53">
        <v>-0.20315047159608526</v>
      </c>
      <c r="M208" s="30">
        <v>1</v>
      </c>
      <c r="O208" s="89">
        <f t="shared" si="20"/>
        <v>-2.6542806291377254E-2</v>
      </c>
    </row>
    <row r="209" spans="1:44" ht="15.5">
      <c r="A209" s="25">
        <v>20</v>
      </c>
      <c r="B209" s="26">
        <v>4.7433331807454424</v>
      </c>
      <c r="C209" s="27">
        <v>4.959999879201253</v>
      </c>
      <c r="D209" s="26">
        <v>5.6700000762939453</v>
      </c>
      <c r="E209" s="53">
        <v>-0.14186851696353731</v>
      </c>
      <c r="F209" s="30">
        <v>1</v>
      </c>
      <c r="H209" s="25">
        <v>20</v>
      </c>
      <c r="I209" s="26">
        <v>4.5433335304260254</v>
      </c>
      <c r="J209" s="27">
        <v>4.8033332824707031</v>
      </c>
      <c r="K209" s="26">
        <v>5.8433334032694502</v>
      </c>
      <c r="L209" s="53">
        <v>-0.21727324314972668</v>
      </c>
      <c r="M209" s="30">
        <v>1</v>
      </c>
      <c r="O209" s="89">
        <f t="shared" si="20"/>
        <v>-3.1586008174616945E-2</v>
      </c>
    </row>
    <row r="210" spans="1:44" ht="15.5">
      <c r="A210" s="25">
        <v>50</v>
      </c>
      <c r="B210" s="26">
        <v>4.6333333651224775</v>
      </c>
      <c r="C210" s="27">
        <v>4.8933332761128741</v>
      </c>
      <c r="D210" s="26">
        <v>5.9266667366027832</v>
      </c>
      <c r="E210" s="53">
        <v>-0.15340253155436964</v>
      </c>
      <c r="F210" s="30">
        <v>1</v>
      </c>
      <c r="H210" s="25">
        <v>50</v>
      </c>
      <c r="I210" s="26">
        <v>4.5033334096272783</v>
      </c>
      <c r="J210" s="27">
        <v>4.7566668192545576</v>
      </c>
      <c r="K210" s="26">
        <v>5.9366666475931806</v>
      </c>
      <c r="L210" s="53">
        <v>-0.22487777260017067</v>
      </c>
      <c r="M210" s="30">
        <v>1</v>
      </c>
      <c r="O210" s="89">
        <f t="shared" si="20"/>
        <v>-2.7929112763576253E-2</v>
      </c>
    </row>
    <row r="211" spans="1:44" ht="15.75" customHeight="1" thickBot="1">
      <c r="A211" s="32">
        <v>100</v>
      </c>
      <c r="B211" s="33">
        <v>4.6099999745686846</v>
      </c>
      <c r="C211" s="34">
        <v>4.8766667048136396</v>
      </c>
      <c r="D211" s="33">
        <v>5.8599999745686846</v>
      </c>
      <c r="E211" s="51">
        <v>-0.15628602145244766</v>
      </c>
      <c r="F211" s="42">
        <v>1</v>
      </c>
      <c r="H211" s="32">
        <v>100</v>
      </c>
      <c r="I211" s="33">
        <v>4.5</v>
      </c>
      <c r="J211" s="34">
        <v>4.7299998601277666</v>
      </c>
      <c r="K211" s="33">
        <v>6.2533332506815595</v>
      </c>
      <c r="L211" s="51">
        <v>-0.22922328460295957</v>
      </c>
      <c r="M211" s="42">
        <v>1</v>
      </c>
      <c r="O211" s="89">
        <f t="shared" si="20"/>
        <v>-3.0075224238946183E-2</v>
      </c>
    </row>
    <row r="212" spans="1:44" ht="15" thickBot="1"/>
    <row r="213" spans="1:44" ht="29" customHeight="1" thickBot="1">
      <c r="A213" s="70" t="s">
        <v>42</v>
      </c>
      <c r="B213" s="71"/>
      <c r="C213" s="71"/>
      <c r="D213" s="71"/>
      <c r="E213" s="71"/>
      <c r="F213" s="71"/>
      <c r="G213" s="72"/>
      <c r="H213" s="70" t="s">
        <v>42</v>
      </c>
      <c r="I213" s="71"/>
      <c r="J213" s="71"/>
      <c r="K213" s="71"/>
      <c r="L213" s="71"/>
      <c r="M213" s="71"/>
      <c r="N213" s="72"/>
      <c r="O213" s="87"/>
    </row>
    <row r="214" spans="1:44" ht="26">
      <c r="A214" s="48" t="s">
        <v>14</v>
      </c>
      <c r="B214" s="49" t="s">
        <v>15</v>
      </c>
      <c r="C214" s="49" t="s">
        <v>0</v>
      </c>
      <c r="D214" s="49" t="s">
        <v>1</v>
      </c>
      <c r="E214" s="49" t="s">
        <v>16</v>
      </c>
      <c r="F214" s="50" t="s">
        <v>17</v>
      </c>
      <c r="G214" s="47"/>
      <c r="H214" s="48" t="s">
        <v>14</v>
      </c>
      <c r="I214" s="49" t="s">
        <v>15</v>
      </c>
      <c r="J214" s="49" t="s">
        <v>0</v>
      </c>
      <c r="K214" s="49" t="s">
        <v>1</v>
      </c>
      <c r="L214" s="49" t="s">
        <v>16</v>
      </c>
      <c r="M214" s="50" t="s">
        <v>17</v>
      </c>
      <c r="N214" s="47"/>
      <c r="O214" s="88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</row>
    <row r="215" spans="1:44" ht="15.5">
      <c r="A215" s="25">
        <v>1</v>
      </c>
      <c r="B215" s="26">
        <v>7.2366666793823242</v>
      </c>
      <c r="C215" s="27">
        <v>7.2366666793823242</v>
      </c>
      <c r="D215" s="26">
        <v>7.2366666793823242</v>
      </c>
      <c r="E215" s="54" t="s">
        <v>18</v>
      </c>
      <c r="F215" s="30">
        <v>1</v>
      </c>
      <c r="H215" s="25">
        <v>1</v>
      </c>
      <c r="I215" s="26">
        <v>6.1333335240681963</v>
      </c>
      <c r="J215" s="27">
        <v>6.1333335240681963</v>
      </c>
      <c r="K215" s="26">
        <v>6.1333335240681963</v>
      </c>
      <c r="L215" s="54" t="s">
        <v>18</v>
      </c>
      <c r="M215" s="30">
        <v>1</v>
      </c>
      <c r="O215" s="89">
        <f t="shared" ref="O215:O220" si="21">(J215-C215)/C215</f>
        <v>-0.15246427729738982</v>
      </c>
    </row>
    <row r="216" spans="1:44" ht="15.5">
      <c r="A216" s="25">
        <v>5</v>
      </c>
      <c r="B216" s="26">
        <v>7.2400000890096026</v>
      </c>
      <c r="C216" s="27">
        <v>7.5500000317891436</v>
      </c>
      <c r="D216" s="26">
        <v>7.8733334541320801</v>
      </c>
      <c r="E216" s="53">
        <v>4.3298021905516793E-2</v>
      </c>
      <c r="F216" s="30">
        <v>1</v>
      </c>
      <c r="H216" s="25">
        <v>5</v>
      </c>
      <c r="I216" s="26">
        <v>5.5100000699361162</v>
      </c>
      <c r="J216" s="27">
        <v>5.9966665903727217</v>
      </c>
      <c r="K216" s="26">
        <v>6.7233333587646484</v>
      </c>
      <c r="L216" s="53">
        <v>-2.2282651540010245E-2</v>
      </c>
      <c r="M216" s="30">
        <v>1</v>
      </c>
      <c r="O216" s="95">
        <f t="shared" si="21"/>
        <v>-0.20573952779816404</v>
      </c>
    </row>
    <row r="217" spans="1:44" ht="15.5">
      <c r="A217" s="25">
        <v>10</v>
      </c>
      <c r="B217" s="26">
        <v>7.059999942779541</v>
      </c>
      <c r="C217" s="27">
        <v>7.440000057220459</v>
      </c>
      <c r="D217" s="26">
        <v>7.9066665967305498</v>
      </c>
      <c r="E217" s="53">
        <v>2.8097656952674518E-2</v>
      </c>
      <c r="F217" s="30">
        <v>1</v>
      </c>
      <c r="H217" s="25">
        <v>10</v>
      </c>
      <c r="I217" s="26">
        <v>5.4366666475931806</v>
      </c>
      <c r="J217" s="27">
        <v>6.1799999872843427</v>
      </c>
      <c r="K217" s="26">
        <v>7.2433331807454424</v>
      </c>
      <c r="L217" s="53">
        <v>7.6086622442786862E-3</v>
      </c>
      <c r="M217" s="30">
        <v>1</v>
      </c>
      <c r="O217" s="89">
        <f t="shared" si="21"/>
        <v>-0.16935484680719814</v>
      </c>
    </row>
    <row r="218" spans="1:44" ht="15.5">
      <c r="A218" s="25">
        <v>20</v>
      </c>
      <c r="B218" s="26">
        <v>7.0099999109903974</v>
      </c>
      <c r="C218" s="27">
        <v>7.4899999300638838</v>
      </c>
      <c r="D218" s="26">
        <v>8.0199999809265137</v>
      </c>
      <c r="E218" s="53">
        <v>3.5006897775645855E-2</v>
      </c>
      <c r="F218" s="30">
        <v>1</v>
      </c>
      <c r="H218" s="25">
        <v>20</v>
      </c>
      <c r="I218" s="26">
        <v>5.4833334287007647</v>
      </c>
      <c r="J218" s="27">
        <v>5.9299999872843427</v>
      </c>
      <c r="K218" s="26">
        <v>6.5533332824707031</v>
      </c>
      <c r="L218" s="53">
        <v>-3.3152206053354144E-2</v>
      </c>
      <c r="M218" s="30">
        <v>1</v>
      </c>
      <c r="O218" s="95">
        <f t="shared" si="21"/>
        <v>-0.20827769790996986</v>
      </c>
    </row>
    <row r="219" spans="1:44" ht="15.5">
      <c r="A219" s="25">
        <v>50</v>
      </c>
      <c r="B219" s="26">
        <v>7.0433333714803057</v>
      </c>
      <c r="C219" s="27">
        <v>7.4833334287007647</v>
      </c>
      <c r="D219" s="26">
        <v>7.8999999364217119</v>
      </c>
      <c r="E219" s="53">
        <v>3.4085686165594459E-2</v>
      </c>
      <c r="F219" s="30">
        <v>1</v>
      </c>
      <c r="H219" s="25">
        <v>50</v>
      </c>
      <c r="I219" s="26">
        <v>5.3566665649414063</v>
      </c>
      <c r="J219" s="27">
        <v>5.8766667048136396</v>
      </c>
      <c r="K219" s="26">
        <v>6.7466665903727217</v>
      </c>
      <c r="L219" s="53">
        <v>-4.1847849664029269E-2</v>
      </c>
      <c r="M219" s="30">
        <v>1</v>
      </c>
      <c r="O219" s="95">
        <f t="shared" si="21"/>
        <v>-0.21469933675881525</v>
      </c>
    </row>
    <row r="220" spans="1:44" ht="15.75" customHeight="1" thickBot="1">
      <c r="A220" s="32">
        <v>100</v>
      </c>
      <c r="B220" s="33">
        <v>6.9366666475931806</v>
      </c>
      <c r="C220" s="34">
        <v>7.3633333841959638</v>
      </c>
      <c r="D220" s="33">
        <v>7.9899997711181641</v>
      </c>
      <c r="E220" s="51">
        <v>1.7503459869793406E-2</v>
      </c>
      <c r="F220" s="42">
        <v>1</v>
      </c>
      <c r="H220" s="32">
        <v>100</v>
      </c>
      <c r="I220" s="33">
        <v>5.3200000127156573</v>
      </c>
      <c r="J220" s="34">
        <v>5.8599999745686846</v>
      </c>
      <c r="K220" s="33">
        <v>6.9133334159851074</v>
      </c>
      <c r="L220" s="51">
        <v>-4.4565251249896409E-2</v>
      </c>
      <c r="M220" s="42">
        <v>1</v>
      </c>
      <c r="O220" s="95">
        <f t="shared" si="21"/>
        <v>-0.20416478939469276</v>
      </c>
    </row>
    <row r="221" spans="1:44" ht="15" thickBot="1"/>
    <row r="222" spans="1:44" ht="38.4" customHeight="1" thickBot="1">
      <c r="A222" s="70" t="s">
        <v>43</v>
      </c>
      <c r="B222" s="71"/>
      <c r="C222" s="71"/>
      <c r="D222" s="71"/>
      <c r="E222" s="71"/>
      <c r="F222" s="71"/>
      <c r="G222" s="72"/>
      <c r="H222" s="70" t="s">
        <v>43</v>
      </c>
      <c r="I222" s="71"/>
      <c r="J222" s="71"/>
      <c r="K222" s="71"/>
      <c r="L222" s="71"/>
      <c r="M222" s="71"/>
      <c r="N222" s="72"/>
      <c r="O222" s="87"/>
    </row>
    <row r="223" spans="1:44" ht="26">
      <c r="A223" s="48" t="s">
        <v>14</v>
      </c>
      <c r="B223" s="49" t="s">
        <v>15</v>
      </c>
      <c r="C223" s="49" t="s">
        <v>0</v>
      </c>
      <c r="D223" s="49" t="s">
        <v>1</v>
      </c>
      <c r="E223" s="49" t="s">
        <v>16</v>
      </c>
      <c r="F223" s="50" t="s">
        <v>17</v>
      </c>
      <c r="G223" s="47"/>
      <c r="H223" s="48" t="s">
        <v>14</v>
      </c>
      <c r="I223" s="49" t="s">
        <v>15</v>
      </c>
      <c r="J223" s="49" t="s">
        <v>0</v>
      </c>
      <c r="K223" s="49" t="s">
        <v>1</v>
      </c>
      <c r="L223" s="49" t="s">
        <v>16</v>
      </c>
      <c r="M223" s="50" t="s">
        <v>17</v>
      </c>
      <c r="N223" s="47"/>
      <c r="O223" s="88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47"/>
      <c r="AO223" s="47"/>
      <c r="AP223" s="47"/>
      <c r="AQ223" s="47"/>
      <c r="AR223" s="47"/>
    </row>
    <row r="224" spans="1:44" ht="15.5">
      <c r="A224" s="25">
        <v>1</v>
      </c>
      <c r="B224" s="26">
        <v>7.5933332443237305</v>
      </c>
      <c r="C224" s="27">
        <v>7.5933332443237305</v>
      </c>
      <c r="D224" s="26">
        <v>7.5933332443237305</v>
      </c>
      <c r="E224" s="54" t="s">
        <v>18</v>
      </c>
      <c r="F224" s="30">
        <v>1</v>
      </c>
      <c r="H224" s="25">
        <v>1</v>
      </c>
      <c r="I224" s="26">
        <v>6.4833332697550459</v>
      </c>
      <c r="J224" s="27">
        <v>6.4833332697550459</v>
      </c>
      <c r="K224" s="26">
        <v>6.4833332697550459</v>
      </c>
      <c r="L224" s="54" t="s">
        <v>18</v>
      </c>
      <c r="M224" s="30">
        <v>1</v>
      </c>
      <c r="O224" s="89">
        <f t="shared" ref="O224:O229" si="22">(J224-C224)/C224</f>
        <v>-0.14618085876824208</v>
      </c>
    </row>
    <row r="225" spans="1:44" ht="15.5">
      <c r="A225" s="25">
        <v>5</v>
      </c>
      <c r="B225" s="26">
        <v>6.9266667366027832</v>
      </c>
      <c r="C225" s="27">
        <v>7.2233333587646484</v>
      </c>
      <c r="D225" s="26">
        <v>7.5533334414164228</v>
      </c>
      <c r="E225" s="53">
        <v>-4.8726938967899147E-2</v>
      </c>
      <c r="F225" s="30">
        <v>1</v>
      </c>
      <c r="H225" s="25">
        <v>5</v>
      </c>
      <c r="I225" s="26">
        <v>5.4966667493184405</v>
      </c>
      <c r="J225" s="27">
        <v>5.9100000063578291</v>
      </c>
      <c r="K225" s="26">
        <v>6.8399999936421709</v>
      </c>
      <c r="L225" s="53">
        <v>-8.8431866686822125E-2</v>
      </c>
      <c r="M225" s="30">
        <v>1</v>
      </c>
      <c r="O225" s="89">
        <f t="shared" si="22"/>
        <v>-0.18181818381858936</v>
      </c>
    </row>
    <row r="226" spans="1:44" ht="15.5">
      <c r="A226" s="25">
        <v>10</v>
      </c>
      <c r="B226" s="26">
        <v>6.8000001907348633</v>
      </c>
      <c r="C226" s="27">
        <v>7.1466666857401533</v>
      </c>
      <c r="D226" s="26">
        <v>7.6266665458679199</v>
      </c>
      <c r="E226" s="53">
        <v>-5.8823515867353154E-2</v>
      </c>
      <c r="F226" s="30">
        <v>1</v>
      </c>
      <c r="H226" s="25">
        <v>10</v>
      </c>
      <c r="I226" s="26">
        <v>5.2633331616719561</v>
      </c>
      <c r="J226" s="27">
        <v>5.7566666603088379</v>
      </c>
      <c r="K226" s="26">
        <v>7.3366665840148926</v>
      </c>
      <c r="L226" s="53">
        <v>-0.11208225448414486</v>
      </c>
      <c r="M226" s="30">
        <v>1</v>
      </c>
      <c r="O226" s="89">
        <f t="shared" si="22"/>
        <v>-0.19449627169611847</v>
      </c>
    </row>
    <row r="227" spans="1:44" ht="15.5">
      <c r="A227" s="25">
        <v>20</v>
      </c>
      <c r="B227" s="26">
        <v>6.7200001080830889</v>
      </c>
      <c r="C227" s="27">
        <v>7.0533332824707031</v>
      </c>
      <c r="D227" s="26">
        <v>7.5666666030883789</v>
      </c>
      <c r="E227" s="53">
        <v>-7.1115008979316857E-2</v>
      </c>
      <c r="F227" s="30">
        <v>1</v>
      </c>
      <c r="H227" s="25">
        <v>20</v>
      </c>
      <c r="I227" s="26">
        <v>5.2833333015441895</v>
      </c>
      <c r="J227" s="27">
        <v>5.6200000445048017</v>
      </c>
      <c r="K227" s="26">
        <v>6.7266667683919268</v>
      </c>
      <c r="L227" s="53">
        <v>-0.13316193836243478</v>
      </c>
      <c r="M227" s="30">
        <v>1</v>
      </c>
      <c r="O227" s="95">
        <f t="shared" si="22"/>
        <v>-0.20321359853051221</v>
      </c>
    </row>
    <row r="228" spans="1:44" ht="15.5">
      <c r="A228" s="25">
        <v>50</v>
      </c>
      <c r="B228" s="26">
        <v>6.5433332125345869</v>
      </c>
      <c r="C228" s="27">
        <v>6.9200000762939453</v>
      </c>
      <c r="D228" s="26">
        <v>7.7933333714803057</v>
      </c>
      <c r="E228" s="53">
        <v>-8.8674254950304482E-2</v>
      </c>
      <c r="F228" s="30">
        <v>1</v>
      </c>
      <c r="H228" s="25">
        <v>50</v>
      </c>
      <c r="I228" s="26">
        <v>5.1133333841959638</v>
      </c>
      <c r="J228" s="27">
        <v>5.5433333714803057</v>
      </c>
      <c r="K228" s="26">
        <v>6.9266665776570635</v>
      </c>
      <c r="L228" s="53">
        <v>-0.14498713226109622</v>
      </c>
      <c r="M228" s="30">
        <v>1</v>
      </c>
      <c r="O228" s="89">
        <f t="shared" si="22"/>
        <v>-0.19894027306874296</v>
      </c>
    </row>
    <row r="229" spans="1:44" ht="15.75" customHeight="1" thickBot="1">
      <c r="A229" s="32">
        <v>100</v>
      </c>
      <c r="B229" s="33">
        <v>6.4800000190734863</v>
      </c>
      <c r="C229" s="34">
        <v>6.916666666666667</v>
      </c>
      <c r="D229" s="33">
        <v>8.0100000699361171</v>
      </c>
      <c r="E229" s="51">
        <v>-8.9113246565715301E-2</v>
      </c>
      <c r="F229" s="42">
        <v>1</v>
      </c>
      <c r="H229" s="32">
        <v>100</v>
      </c>
      <c r="I229" s="33">
        <v>5.0733332633972168</v>
      </c>
      <c r="J229" s="34">
        <v>5.4999998410542803</v>
      </c>
      <c r="K229" s="33">
        <v>7.0533332824707031</v>
      </c>
      <c r="L229" s="51">
        <v>-0.15167096735379115</v>
      </c>
      <c r="M229" s="42">
        <v>1</v>
      </c>
      <c r="O229" s="95">
        <f t="shared" si="22"/>
        <v>-0.20481930008853783</v>
      </c>
    </row>
    <row r="230" spans="1:44" ht="15" thickBot="1"/>
    <row r="231" spans="1:44" ht="32" customHeight="1" thickBot="1">
      <c r="A231" s="70" t="s">
        <v>44</v>
      </c>
      <c r="B231" s="71"/>
      <c r="C231" s="71"/>
      <c r="D231" s="71"/>
      <c r="E231" s="71"/>
      <c r="F231" s="71"/>
      <c r="G231" s="72"/>
      <c r="H231" s="70" t="s">
        <v>44</v>
      </c>
      <c r="I231" s="71"/>
      <c r="J231" s="71"/>
      <c r="K231" s="71"/>
      <c r="L231" s="71"/>
      <c r="M231" s="71"/>
      <c r="N231" s="72"/>
      <c r="O231" s="87"/>
    </row>
    <row r="232" spans="1:44" ht="26">
      <c r="A232" s="48" t="s">
        <v>14</v>
      </c>
      <c r="B232" s="49" t="s">
        <v>15</v>
      </c>
      <c r="C232" s="49" t="s">
        <v>0</v>
      </c>
      <c r="D232" s="49" t="s">
        <v>1</v>
      </c>
      <c r="E232" s="49" t="s">
        <v>16</v>
      </c>
      <c r="F232" s="50" t="s">
        <v>17</v>
      </c>
      <c r="G232" s="47"/>
      <c r="H232" s="48" t="s">
        <v>14</v>
      </c>
      <c r="I232" s="49" t="s">
        <v>15</v>
      </c>
      <c r="J232" s="49" t="s">
        <v>0</v>
      </c>
      <c r="K232" s="49" t="s">
        <v>1</v>
      </c>
      <c r="L232" s="49" t="s">
        <v>16</v>
      </c>
      <c r="M232" s="50" t="s">
        <v>17</v>
      </c>
      <c r="N232" s="47"/>
      <c r="O232" s="88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  <c r="AA232" s="47"/>
      <c r="AB232" s="47"/>
      <c r="AC232" s="47"/>
      <c r="AD232" s="47"/>
      <c r="AE232" s="47"/>
      <c r="AF232" s="47"/>
      <c r="AG232" s="47"/>
      <c r="AH232" s="47"/>
      <c r="AI232" s="47"/>
      <c r="AJ232" s="47"/>
      <c r="AK232" s="47"/>
      <c r="AL232" s="47"/>
      <c r="AM232" s="47"/>
      <c r="AN232" s="47"/>
      <c r="AO232" s="47"/>
      <c r="AP232" s="47"/>
      <c r="AQ232" s="47"/>
      <c r="AR232" s="47"/>
    </row>
    <row r="233" spans="1:44" ht="15.5">
      <c r="A233" s="25">
        <v>1</v>
      </c>
      <c r="B233" s="26">
        <v>9.7100000381469727</v>
      </c>
      <c r="C233" s="27">
        <v>9.7100000381469727</v>
      </c>
      <c r="D233" s="26">
        <v>9.7100000381469727</v>
      </c>
      <c r="E233" s="54" t="s">
        <v>18</v>
      </c>
      <c r="F233" s="30">
        <v>1</v>
      </c>
      <c r="H233" s="25">
        <v>1</v>
      </c>
      <c r="I233" s="26">
        <v>8.7800000508626308</v>
      </c>
      <c r="J233" s="27">
        <v>8.7800000508626308</v>
      </c>
      <c r="K233" s="26">
        <v>8.7800000508626308</v>
      </c>
      <c r="L233" s="54" t="s">
        <v>18</v>
      </c>
      <c r="M233" s="30">
        <v>1</v>
      </c>
      <c r="O233" s="89">
        <f t="shared" ref="O233:O238" si="23">(J233-C233)/C233</f>
        <v>-9.5777547232823723E-2</v>
      </c>
    </row>
    <row r="234" spans="1:44" ht="15.5">
      <c r="A234" s="25">
        <v>5</v>
      </c>
      <c r="B234" s="26">
        <v>6.9799998601277666</v>
      </c>
      <c r="C234" s="27">
        <v>7.9266668955485029</v>
      </c>
      <c r="D234" s="26">
        <v>10.379999796549479</v>
      </c>
      <c r="E234" s="53">
        <v>-0.19280377950259961</v>
      </c>
      <c r="F234" s="30">
        <v>1</v>
      </c>
      <c r="H234" s="25">
        <v>5</v>
      </c>
      <c r="I234" s="26">
        <v>5.6499999364217119</v>
      </c>
      <c r="J234" s="27">
        <v>6.6766665776570635</v>
      </c>
      <c r="K234" s="26">
        <v>9.4333333969116211</v>
      </c>
      <c r="L234" s="53">
        <v>-0.2395596197062568</v>
      </c>
      <c r="M234" s="30">
        <v>1</v>
      </c>
      <c r="O234" s="89">
        <f t="shared" si="23"/>
        <v>-0.15769557802326989</v>
      </c>
    </row>
    <row r="235" spans="1:44" ht="15.5">
      <c r="A235" s="25">
        <v>10</v>
      </c>
      <c r="B235" s="26">
        <v>7.1200000445048017</v>
      </c>
      <c r="C235" s="27">
        <v>7.7699999809265137</v>
      </c>
      <c r="D235" s="26">
        <v>10.539999961853027</v>
      </c>
      <c r="E235" s="53">
        <v>-0.20875764044141076</v>
      </c>
      <c r="F235" s="30">
        <v>1</v>
      </c>
      <c r="H235" s="25">
        <v>10</v>
      </c>
      <c r="I235" s="26">
        <v>5.3999999364217119</v>
      </c>
      <c r="J235" s="27">
        <v>6.0933332443237305</v>
      </c>
      <c r="K235" s="26">
        <v>9.4866669972737636</v>
      </c>
      <c r="L235" s="53">
        <v>-0.3059984955552405</v>
      </c>
      <c r="M235" s="30">
        <v>1</v>
      </c>
      <c r="O235" s="95">
        <f t="shared" si="23"/>
        <v>-0.21578722531770886</v>
      </c>
    </row>
    <row r="236" spans="1:44" ht="15.5">
      <c r="A236" s="25">
        <v>20</v>
      </c>
      <c r="B236" s="26">
        <v>6.8399999936421709</v>
      </c>
      <c r="C236" s="27">
        <v>7.3566667238871259</v>
      </c>
      <c r="D236" s="26">
        <v>10.170000076293945</v>
      </c>
      <c r="E236" s="53">
        <v>-0.25084860342554249</v>
      </c>
      <c r="F236" s="30">
        <v>1</v>
      </c>
      <c r="H236" s="25">
        <v>20</v>
      </c>
      <c r="I236" s="26">
        <v>5.3233332633972168</v>
      </c>
      <c r="J236" s="27">
        <v>5.8900001843770342</v>
      </c>
      <c r="K236" s="26">
        <v>9.3900000254313145</v>
      </c>
      <c r="L236" s="53">
        <v>-0.32915715828517056</v>
      </c>
      <c r="M236" s="30">
        <v>1</v>
      </c>
      <c r="O236" s="89">
        <f t="shared" si="23"/>
        <v>-0.19936563589972339</v>
      </c>
    </row>
    <row r="237" spans="1:44" ht="15.5">
      <c r="A237" s="25">
        <v>50</v>
      </c>
      <c r="B237" s="26">
        <v>6.8266665140787763</v>
      </c>
      <c r="C237" s="27">
        <v>7.3033332824707031</v>
      </c>
      <c r="D237" s="26">
        <v>10.539999643961588</v>
      </c>
      <c r="E237" s="53">
        <v>-0.25627970743240225</v>
      </c>
      <c r="F237" s="30">
        <v>1</v>
      </c>
      <c r="H237" s="25">
        <v>50</v>
      </c>
      <c r="I237" s="26">
        <v>5.2566666603088379</v>
      </c>
      <c r="J237" s="27">
        <v>5.7300000190734863</v>
      </c>
      <c r="K237" s="26">
        <v>9.4033330281575527</v>
      </c>
      <c r="L237" s="53">
        <v>-0.34738041163103223</v>
      </c>
      <c r="M237" s="30">
        <v>1</v>
      </c>
      <c r="O237" s="95">
        <f t="shared" si="23"/>
        <v>-0.21542673770256329</v>
      </c>
    </row>
    <row r="238" spans="1:44" ht="15.75" customHeight="1" thickBot="1">
      <c r="A238" s="32">
        <v>100</v>
      </c>
      <c r="B238" s="33">
        <v>6.6100001335144043</v>
      </c>
      <c r="C238" s="34">
        <v>7.0466667811075849</v>
      </c>
      <c r="D238" s="33">
        <v>10.280000050862631</v>
      </c>
      <c r="E238" s="51">
        <v>-0.28241682566364129</v>
      </c>
      <c r="F238" s="42">
        <v>0.9966666666666667</v>
      </c>
      <c r="H238" s="32">
        <v>100</v>
      </c>
      <c r="I238" s="33">
        <v>5.1733331680297852</v>
      </c>
      <c r="J238" s="34">
        <v>5.6400000254313154</v>
      </c>
      <c r="K238" s="33">
        <v>9.3199996948242188</v>
      </c>
      <c r="L238" s="51">
        <v>-0.35763098032360624</v>
      </c>
      <c r="M238" s="42">
        <v>0.9966666666666667</v>
      </c>
      <c r="O238" s="89">
        <f t="shared" si="23"/>
        <v>-0.19962157987200463</v>
      </c>
    </row>
    <row r="239" spans="1:44" ht="15" thickBot="1"/>
    <row r="240" spans="1:44" ht="31.25" customHeight="1" thickBot="1">
      <c r="A240" s="70" t="s">
        <v>45</v>
      </c>
      <c r="B240" s="71"/>
      <c r="C240" s="71"/>
      <c r="D240" s="71"/>
      <c r="E240" s="71"/>
      <c r="F240" s="71"/>
      <c r="G240" s="72"/>
      <c r="H240" s="70" t="s">
        <v>45</v>
      </c>
      <c r="I240" s="71"/>
      <c r="J240" s="71"/>
      <c r="K240" s="71"/>
      <c r="L240" s="71"/>
      <c r="M240" s="71"/>
      <c r="N240" s="72"/>
      <c r="O240" s="87"/>
    </row>
    <row r="241" spans="1:44" ht="26">
      <c r="A241" s="48" t="s">
        <v>14</v>
      </c>
      <c r="B241" s="49" t="s">
        <v>15</v>
      </c>
      <c r="C241" s="49" t="s">
        <v>0</v>
      </c>
      <c r="D241" s="49" t="s">
        <v>1</v>
      </c>
      <c r="E241" s="49" t="s">
        <v>16</v>
      </c>
      <c r="F241" s="50" t="s">
        <v>17</v>
      </c>
      <c r="G241" s="47"/>
      <c r="H241" s="48" t="s">
        <v>14</v>
      </c>
      <c r="I241" s="49" t="s">
        <v>15</v>
      </c>
      <c r="J241" s="49" t="s">
        <v>0</v>
      </c>
      <c r="K241" s="49" t="s">
        <v>1</v>
      </c>
      <c r="L241" s="49" t="s">
        <v>16</v>
      </c>
      <c r="M241" s="50" t="s">
        <v>17</v>
      </c>
      <c r="N241" s="47"/>
      <c r="O241" s="88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  <c r="AC241" s="47"/>
      <c r="AD241" s="47"/>
      <c r="AE241" s="47"/>
      <c r="AF241" s="47"/>
      <c r="AG241" s="47"/>
      <c r="AH241" s="47"/>
      <c r="AI241" s="47"/>
      <c r="AJ241" s="47"/>
      <c r="AK241" s="47"/>
      <c r="AL241" s="47"/>
      <c r="AM241" s="47"/>
      <c r="AN241" s="47"/>
      <c r="AO241" s="47"/>
      <c r="AP241" s="47"/>
      <c r="AQ241" s="47"/>
      <c r="AR241" s="47"/>
    </row>
    <row r="242" spans="1:44" ht="15.5">
      <c r="A242" s="25">
        <v>1</v>
      </c>
      <c r="B242" s="26">
        <v>8.3866666158040371</v>
      </c>
      <c r="C242" s="27">
        <v>8.3866666158040371</v>
      </c>
      <c r="D242" s="26">
        <v>8.3866666158040371</v>
      </c>
      <c r="E242" s="54" t="s">
        <v>18</v>
      </c>
      <c r="F242" s="30">
        <v>1</v>
      </c>
      <c r="H242" s="25">
        <v>1</v>
      </c>
      <c r="I242" s="26">
        <v>7.7466665903727217</v>
      </c>
      <c r="J242" s="27">
        <v>7.7466665903727217</v>
      </c>
      <c r="K242" s="26">
        <v>7.7466665903727217</v>
      </c>
      <c r="L242" s="54" t="s">
        <v>18</v>
      </c>
      <c r="M242" s="30">
        <v>1</v>
      </c>
      <c r="O242" s="89">
        <f t="shared" ref="O242:O247" si="24">(J242-C242)/C242</f>
        <v>-7.6311609218528365E-2</v>
      </c>
    </row>
    <row r="243" spans="1:44" ht="15.5">
      <c r="A243" s="25">
        <v>5</v>
      </c>
      <c r="B243" s="26">
        <v>8.2733332316080723</v>
      </c>
      <c r="C243" s="27">
        <v>8.5433333714803066</v>
      </c>
      <c r="D243" s="26">
        <v>8.8599996566772461</v>
      </c>
      <c r="E243" s="53">
        <v>1.868045587755246E-2</v>
      </c>
      <c r="F243" s="30">
        <v>1</v>
      </c>
      <c r="H243" s="25">
        <v>5</v>
      </c>
      <c r="I243" s="26">
        <v>6.7966666221618652</v>
      </c>
      <c r="J243" s="27">
        <v>7.3666666348775225</v>
      </c>
      <c r="K243" s="26">
        <v>8.0533334414164219</v>
      </c>
      <c r="L243" s="53">
        <v>-4.9053351020353637E-2</v>
      </c>
      <c r="M243" s="30">
        <v>1</v>
      </c>
      <c r="O243" s="89">
        <f t="shared" si="24"/>
        <v>-0.1377292311372022</v>
      </c>
    </row>
    <row r="244" spans="1:44" ht="15.5">
      <c r="A244" s="25">
        <v>10</v>
      </c>
      <c r="B244" s="26">
        <v>8.266666730244955</v>
      </c>
      <c r="C244" s="27">
        <v>8.6200002034505214</v>
      </c>
      <c r="D244" s="26">
        <v>9.0633331934610997</v>
      </c>
      <c r="E244" s="53">
        <v>2.7821970078885087E-2</v>
      </c>
      <c r="F244" s="30">
        <v>1</v>
      </c>
      <c r="H244" s="25">
        <v>10</v>
      </c>
      <c r="I244" s="26">
        <v>6.8633333841959638</v>
      </c>
      <c r="J244" s="27">
        <v>7.3200000127156573</v>
      </c>
      <c r="K244" s="26">
        <v>8.2100000381469727</v>
      </c>
      <c r="L244" s="53">
        <v>-5.507744172019876E-2</v>
      </c>
      <c r="M244" s="30">
        <v>1</v>
      </c>
      <c r="O244" s="89">
        <f t="shared" si="24"/>
        <v>-0.15081208353272241</v>
      </c>
    </row>
    <row r="245" spans="1:44" ht="15.5">
      <c r="A245" s="25">
        <v>20</v>
      </c>
      <c r="B245" s="26">
        <v>8.0533334414164219</v>
      </c>
      <c r="C245" s="27">
        <v>8.4766667683919277</v>
      </c>
      <c r="D245" s="26">
        <v>8.953333218892416</v>
      </c>
      <c r="E245" s="53">
        <v>1.0731337814035933E-2</v>
      </c>
      <c r="F245" s="30">
        <v>1</v>
      </c>
      <c r="H245" s="25">
        <v>20</v>
      </c>
      <c r="I245" s="26">
        <v>6.7199999491373701</v>
      </c>
      <c r="J245" s="27">
        <v>7.2800000508626299</v>
      </c>
      <c r="K245" s="26">
        <v>8.1366667747497559</v>
      </c>
      <c r="L245" s="53">
        <v>-6.0240948034351718E-2</v>
      </c>
      <c r="M245" s="30">
        <v>1</v>
      </c>
      <c r="O245" s="89">
        <f t="shared" si="24"/>
        <v>-0.14117184858457191</v>
      </c>
    </row>
    <row r="246" spans="1:44" ht="15.5">
      <c r="A246" s="25">
        <v>50</v>
      </c>
      <c r="B246" s="26">
        <v>7.9700001080830889</v>
      </c>
      <c r="C246" s="27">
        <v>8.4966665903727208</v>
      </c>
      <c r="D246" s="26">
        <v>9.0999997456868496</v>
      </c>
      <c r="E246" s="53">
        <v>1.3116054280898338E-2</v>
      </c>
      <c r="F246" s="30">
        <v>1</v>
      </c>
      <c r="H246" s="25">
        <v>50</v>
      </c>
      <c r="I246" s="26">
        <v>6.7333332697550459</v>
      </c>
      <c r="J246" s="27">
        <v>7.4566666285196943</v>
      </c>
      <c r="K246" s="26">
        <v>11.630000114440918</v>
      </c>
      <c r="L246" s="53">
        <v>-3.7435451554534288E-2</v>
      </c>
      <c r="M246" s="30">
        <v>1</v>
      </c>
      <c r="O246" s="89">
        <f t="shared" si="24"/>
        <v>-0.12240093815513657</v>
      </c>
    </row>
    <row r="247" spans="1:44" ht="15.75" customHeight="1" thickBot="1">
      <c r="A247" s="32">
        <v>100</v>
      </c>
      <c r="B247" s="33">
        <v>7.9666666984558105</v>
      </c>
      <c r="C247" s="34">
        <v>8.4733333587646484</v>
      </c>
      <c r="D247" s="33">
        <v>9.2733332316080723</v>
      </c>
      <c r="E247" s="51">
        <v>1.0333872434763828E-2</v>
      </c>
      <c r="F247" s="42">
        <v>1</v>
      </c>
      <c r="H247" s="32">
        <v>100</v>
      </c>
      <c r="I247" s="33">
        <v>6.6499999364217119</v>
      </c>
      <c r="J247" s="34">
        <v>7.2033332188924151</v>
      </c>
      <c r="K247" s="33">
        <v>8.7800003687540684</v>
      </c>
      <c r="L247" s="51">
        <v>-7.0137699246736879E-2</v>
      </c>
      <c r="M247" s="42">
        <v>1</v>
      </c>
      <c r="O247" s="89">
        <f t="shared" si="24"/>
        <v>-0.14988199874829311</v>
      </c>
    </row>
    <row r="248" spans="1:44" ht="15" thickBot="1"/>
    <row r="249" spans="1:44" ht="31.25" customHeight="1" thickBot="1">
      <c r="A249" s="70" t="s">
        <v>46</v>
      </c>
      <c r="B249" s="71"/>
      <c r="C249" s="71"/>
      <c r="D249" s="71"/>
      <c r="E249" s="71"/>
      <c r="F249" s="71"/>
      <c r="G249" s="72"/>
      <c r="H249" s="70" t="s">
        <v>46</v>
      </c>
      <c r="I249" s="71"/>
      <c r="J249" s="71"/>
      <c r="K249" s="71"/>
      <c r="L249" s="71"/>
      <c r="M249" s="71"/>
      <c r="N249" s="72"/>
      <c r="O249" s="87"/>
    </row>
    <row r="250" spans="1:44" ht="26">
      <c r="A250" s="48" t="s">
        <v>14</v>
      </c>
      <c r="B250" s="49" t="s">
        <v>15</v>
      </c>
      <c r="C250" s="49" t="s">
        <v>0</v>
      </c>
      <c r="D250" s="49" t="s">
        <v>1</v>
      </c>
      <c r="E250" s="49" t="s">
        <v>16</v>
      </c>
      <c r="F250" s="50" t="s">
        <v>17</v>
      </c>
      <c r="G250" s="47"/>
      <c r="H250" s="48" t="s">
        <v>14</v>
      </c>
      <c r="I250" s="49" t="s">
        <v>15</v>
      </c>
      <c r="J250" s="49" t="s">
        <v>0</v>
      </c>
      <c r="K250" s="49" t="s">
        <v>1</v>
      </c>
      <c r="L250" s="49" t="s">
        <v>16</v>
      </c>
      <c r="M250" s="50" t="s">
        <v>17</v>
      </c>
      <c r="N250" s="47"/>
      <c r="O250" s="88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  <c r="AA250" s="47"/>
      <c r="AB250" s="47"/>
      <c r="AC250" s="47"/>
      <c r="AD250" s="47"/>
      <c r="AE250" s="47"/>
      <c r="AF250" s="47"/>
      <c r="AG250" s="47"/>
      <c r="AH250" s="47"/>
      <c r="AI250" s="47"/>
      <c r="AJ250" s="47"/>
      <c r="AK250" s="47"/>
      <c r="AL250" s="47"/>
      <c r="AM250" s="47"/>
      <c r="AN250" s="47"/>
      <c r="AO250" s="47"/>
      <c r="AP250" s="47"/>
      <c r="AQ250" s="47"/>
      <c r="AR250" s="47"/>
    </row>
    <row r="251" spans="1:44" ht="15.5">
      <c r="A251" s="25">
        <v>1</v>
      </c>
      <c r="B251" s="26">
        <v>7.5333333015441895</v>
      </c>
      <c r="C251" s="27">
        <v>7.5333333015441895</v>
      </c>
      <c r="D251" s="26">
        <v>7.5333333015441895</v>
      </c>
      <c r="E251" s="54" t="s">
        <v>18</v>
      </c>
      <c r="F251" s="30">
        <v>1</v>
      </c>
      <c r="H251" s="25">
        <v>1</v>
      </c>
      <c r="I251" s="26">
        <v>6.3066666920979815</v>
      </c>
      <c r="J251" s="27">
        <v>6.3066666920979815</v>
      </c>
      <c r="K251" s="26">
        <v>6.3066666920979815</v>
      </c>
      <c r="L251" s="54" t="s">
        <v>18</v>
      </c>
      <c r="M251" s="30">
        <v>1</v>
      </c>
      <c r="O251" s="89">
        <f t="shared" ref="O251:O256" si="25">(J251-C251)/C251</f>
        <v>-0.16283185149856103</v>
      </c>
    </row>
    <row r="252" spans="1:44" ht="15.5">
      <c r="A252" s="25">
        <v>5</v>
      </c>
      <c r="B252" s="26">
        <v>6.8266666730244951</v>
      </c>
      <c r="C252" s="27">
        <v>7.1166666348775225</v>
      </c>
      <c r="D252" s="26">
        <v>7.5933334032694502</v>
      </c>
      <c r="E252" s="53">
        <v>-5.5309734746670274E-2</v>
      </c>
      <c r="F252" s="30">
        <v>1</v>
      </c>
      <c r="H252" s="25">
        <v>5</v>
      </c>
      <c r="I252" s="26">
        <v>5.4800000190734863</v>
      </c>
      <c r="J252" s="27">
        <v>6.0033332506815595</v>
      </c>
      <c r="K252" s="26">
        <v>6.8433334032694502</v>
      </c>
      <c r="L252" s="53">
        <v>-4.8097268529584326E-2</v>
      </c>
      <c r="M252" s="30">
        <v>1</v>
      </c>
      <c r="O252" s="89">
        <f t="shared" si="25"/>
        <v>-0.15644028887621533</v>
      </c>
    </row>
    <row r="253" spans="1:44" ht="15.5">
      <c r="A253" s="25">
        <v>10</v>
      </c>
      <c r="B253" s="26">
        <v>6.7966667811075849</v>
      </c>
      <c r="C253" s="27">
        <v>7.1333333651224775</v>
      </c>
      <c r="D253" s="26">
        <v>7.84666649500529</v>
      </c>
      <c r="E253" s="53">
        <v>-5.3097336917207631E-2</v>
      </c>
      <c r="F253" s="30">
        <v>1</v>
      </c>
      <c r="H253" s="25">
        <v>10</v>
      </c>
      <c r="I253" s="26">
        <v>5.4600000381469727</v>
      </c>
      <c r="J253" s="27">
        <v>5.940000057220459</v>
      </c>
      <c r="K253" s="26">
        <v>7.0133333206176758</v>
      </c>
      <c r="L253" s="53">
        <v>-5.8139529608714241E-2</v>
      </c>
      <c r="M253" s="30">
        <v>1</v>
      </c>
      <c r="O253" s="89">
        <f t="shared" si="25"/>
        <v>-0.16728971531551706</v>
      </c>
    </row>
    <row r="254" spans="1:44" ht="15.5">
      <c r="A254" s="25">
        <v>20</v>
      </c>
      <c r="B254" s="26">
        <v>6.7899999618530273</v>
      </c>
      <c r="C254" s="27">
        <v>7.1333333651224775</v>
      </c>
      <c r="D254" s="26">
        <v>7.7200001080830889</v>
      </c>
      <c r="E254" s="53">
        <v>-5.3097336917207631E-2</v>
      </c>
      <c r="F254" s="30">
        <v>1</v>
      </c>
      <c r="H254" s="25">
        <v>20</v>
      </c>
      <c r="I254" s="26">
        <v>5.4000000953674316</v>
      </c>
      <c r="J254" s="27">
        <v>5.8166667620340986</v>
      </c>
      <c r="K254" s="26">
        <v>6.7399999300638838</v>
      </c>
      <c r="L254" s="53">
        <v>-7.7695548851160076E-2</v>
      </c>
      <c r="M254" s="30">
        <v>1</v>
      </c>
      <c r="O254" s="89">
        <f t="shared" si="25"/>
        <v>-0.18457942951692852</v>
      </c>
    </row>
    <row r="255" spans="1:44" ht="15.5">
      <c r="A255" s="25">
        <v>50</v>
      </c>
      <c r="B255" s="26">
        <v>6.7166666984558105</v>
      </c>
      <c r="C255" s="27">
        <v>7.0766668319702148</v>
      </c>
      <c r="D255" s="26">
        <v>7.7100000381469727</v>
      </c>
      <c r="E255" s="53">
        <v>-6.0619443119603739E-2</v>
      </c>
      <c r="F255" s="30">
        <v>1</v>
      </c>
      <c r="H255" s="25">
        <v>50</v>
      </c>
      <c r="I255" s="26">
        <v>5.3799999554951983</v>
      </c>
      <c r="J255" s="27">
        <v>5.7966666221618652</v>
      </c>
      <c r="K255" s="26">
        <v>6.690000057220459</v>
      </c>
      <c r="L255" s="53">
        <v>-8.0866818374138491E-2</v>
      </c>
      <c r="M255" s="30">
        <v>1</v>
      </c>
      <c r="O255" s="89">
        <f t="shared" si="25"/>
        <v>-0.18087614412278114</v>
      </c>
    </row>
    <row r="256" spans="1:44" ht="15.75" customHeight="1" thickBot="1">
      <c r="A256" s="32">
        <v>100</v>
      </c>
      <c r="B256" s="33">
        <v>6.6433332761128741</v>
      </c>
      <c r="C256" s="34">
        <v>7.0766668319702148</v>
      </c>
      <c r="D256" s="33">
        <v>7.9566666285196943</v>
      </c>
      <c r="E256" s="51">
        <v>-6.0619443119603739E-2</v>
      </c>
      <c r="F256" s="42">
        <v>1</v>
      </c>
      <c r="H256" s="32">
        <v>100</v>
      </c>
      <c r="I256" s="33">
        <v>5.3533333142598467</v>
      </c>
      <c r="J256" s="34">
        <v>5.8200000127156573</v>
      </c>
      <c r="K256" s="33">
        <v>6.9799998601277666</v>
      </c>
      <c r="L256" s="51">
        <v>-7.7167020732536798E-2</v>
      </c>
      <c r="M256" s="42">
        <v>1</v>
      </c>
      <c r="O256" s="89">
        <f t="shared" si="25"/>
        <v>-0.17757891520020719</v>
      </c>
    </row>
    <row r="257" spans="1:15" ht="15" thickBot="1"/>
    <row r="258" spans="1:15" ht="30" customHeight="1" thickBot="1">
      <c r="A258" s="70" t="s">
        <v>47</v>
      </c>
      <c r="B258" s="71"/>
      <c r="C258" s="71"/>
      <c r="D258" s="71"/>
      <c r="E258" s="71"/>
      <c r="F258" s="71"/>
      <c r="G258" s="72"/>
      <c r="H258" s="70" t="s">
        <v>47</v>
      </c>
      <c r="I258" s="71"/>
      <c r="J258" s="71"/>
      <c r="K258" s="71"/>
      <c r="L258" s="71"/>
      <c r="M258" s="71"/>
      <c r="N258" s="72"/>
      <c r="O258" s="87"/>
    </row>
    <row r="259" spans="1:15" ht="26">
      <c r="A259" s="48" t="s">
        <v>14</v>
      </c>
      <c r="B259" s="49" t="s">
        <v>15</v>
      </c>
      <c r="C259" s="49" t="s">
        <v>0</v>
      </c>
      <c r="D259" s="49" t="s">
        <v>1</v>
      </c>
      <c r="E259" s="49" t="s">
        <v>16</v>
      </c>
      <c r="F259" s="50" t="s">
        <v>17</v>
      </c>
      <c r="G259" s="47"/>
      <c r="H259" s="48" t="s">
        <v>14</v>
      </c>
      <c r="I259" s="49" t="s">
        <v>15</v>
      </c>
      <c r="J259" s="49" t="s">
        <v>0</v>
      </c>
      <c r="K259" s="49" t="s">
        <v>1</v>
      </c>
      <c r="L259" s="49" t="s">
        <v>16</v>
      </c>
      <c r="M259" s="50" t="s">
        <v>17</v>
      </c>
      <c r="N259" s="47"/>
      <c r="O259" s="88"/>
    </row>
    <row r="260" spans="1:15" ht="15.5">
      <c r="A260" s="25">
        <v>1</v>
      </c>
      <c r="B260" s="26">
        <v>9.9533335367838536</v>
      </c>
      <c r="C260" s="27">
        <v>9.9533335367838536</v>
      </c>
      <c r="D260" s="26">
        <v>9.9533335367838536</v>
      </c>
      <c r="E260" s="54" t="s">
        <v>18</v>
      </c>
      <c r="F260" s="30">
        <v>1</v>
      </c>
      <c r="H260" s="25">
        <v>1</v>
      </c>
      <c r="I260" s="26">
        <v>8.1833332379659023</v>
      </c>
      <c r="J260" s="27">
        <v>8.1833332379659023</v>
      </c>
      <c r="K260" s="26">
        <v>8.1833332379659023</v>
      </c>
      <c r="L260" s="54" t="s">
        <v>18</v>
      </c>
      <c r="M260" s="30">
        <v>1</v>
      </c>
      <c r="O260" s="89">
        <f t="shared" ref="O260:O265" si="26">(J260-C260)/C260</f>
        <v>-0.17782989912642658</v>
      </c>
    </row>
    <row r="261" spans="1:15" ht="15.5">
      <c r="A261" s="25">
        <v>5</v>
      </c>
      <c r="B261" s="26">
        <v>9.9200000762939453</v>
      </c>
      <c r="C261" s="27">
        <v>10.370000203450521</v>
      </c>
      <c r="D261" s="26">
        <v>10.730000178019205</v>
      </c>
      <c r="E261" s="53">
        <v>4.1862021917262328E-2</v>
      </c>
      <c r="F261" s="30">
        <v>1</v>
      </c>
      <c r="H261" s="25">
        <v>5</v>
      </c>
      <c r="I261" s="26">
        <v>7.3866666158040362</v>
      </c>
      <c r="J261" s="27">
        <v>7.9033333460489912</v>
      </c>
      <c r="K261" s="26">
        <v>8.5733334223429356</v>
      </c>
      <c r="L261" s="53">
        <v>-3.4215873138084441E-2</v>
      </c>
      <c r="M261" s="30">
        <v>1</v>
      </c>
      <c r="O261" s="95">
        <f t="shared" si="26"/>
        <v>-0.23786565178472896</v>
      </c>
    </row>
    <row r="262" spans="1:15" ht="15.5">
      <c r="A262" s="25">
        <v>10</v>
      </c>
      <c r="B262" s="26">
        <v>9.9600000381469727</v>
      </c>
      <c r="C262" s="27">
        <v>10.536666552225748</v>
      </c>
      <c r="D262" s="26">
        <v>10.929999987284342</v>
      </c>
      <c r="E262" s="53">
        <v>5.8606798745978989E-2</v>
      </c>
      <c r="F262" s="30">
        <v>1</v>
      </c>
      <c r="H262" s="25">
        <v>10</v>
      </c>
      <c r="I262" s="26">
        <v>7.8833333651224775</v>
      </c>
      <c r="J262" s="27">
        <v>8.2999998728434239</v>
      </c>
      <c r="K262" s="26">
        <v>9.1266670227050781</v>
      </c>
      <c r="L262" s="53">
        <v>1.4256615426126891E-2</v>
      </c>
      <c r="M262" s="30">
        <v>1</v>
      </c>
      <c r="O262" s="95">
        <f t="shared" si="26"/>
        <v>-0.21227460015899</v>
      </c>
    </row>
    <row r="263" spans="1:15" ht="15.5">
      <c r="A263" s="25">
        <v>20</v>
      </c>
      <c r="B263" s="26">
        <v>9.6600001653035488</v>
      </c>
      <c r="C263" s="27">
        <v>10.306666374206543</v>
      </c>
      <c r="D263" s="26">
        <v>11.170000076293945</v>
      </c>
      <c r="E263" s="53">
        <v>3.5498944762264964E-2</v>
      </c>
      <c r="F263" s="30">
        <v>1</v>
      </c>
      <c r="H263" s="25">
        <v>20</v>
      </c>
      <c r="I263" s="26">
        <v>7.1999999682108564</v>
      </c>
      <c r="J263" s="27">
        <v>7.9166668256123858</v>
      </c>
      <c r="K263" s="26">
        <v>8.6166667938232422</v>
      </c>
      <c r="L263" s="53">
        <v>-3.2586527347602028E-2</v>
      </c>
      <c r="M263" s="30">
        <v>1</v>
      </c>
      <c r="O263" s="95">
        <f t="shared" si="26"/>
        <v>-0.23188870793134128</v>
      </c>
    </row>
    <row r="264" spans="1:15" ht="15.5">
      <c r="A264" s="25">
        <v>50</v>
      </c>
      <c r="B264" s="26">
        <v>8.6999998092651367</v>
      </c>
      <c r="C264" s="27">
        <v>9.3200000127156581</v>
      </c>
      <c r="D264" s="26">
        <v>9.880000114440918</v>
      </c>
      <c r="E264" s="53">
        <v>-6.363029247715131E-2</v>
      </c>
      <c r="F264" s="30">
        <v>1</v>
      </c>
      <c r="H264" s="25">
        <v>50</v>
      </c>
      <c r="I264" s="26">
        <v>6.4199999173482256</v>
      </c>
      <c r="J264" s="27">
        <v>6.9666666984558105</v>
      </c>
      <c r="K264" s="26">
        <v>8.3999999364217128</v>
      </c>
      <c r="L264" s="53">
        <v>-0.14867615727359937</v>
      </c>
      <c r="M264" s="30">
        <v>1</v>
      </c>
      <c r="O264" s="95">
        <f t="shared" si="26"/>
        <v>-0.252503574146899</v>
      </c>
    </row>
    <row r="265" spans="1:15" ht="16" thickBot="1">
      <c r="A265" s="32">
        <v>100</v>
      </c>
      <c r="B265" s="33">
        <v>8.7133334477742519</v>
      </c>
      <c r="C265" s="34">
        <v>9.3666667938232422</v>
      </c>
      <c r="D265" s="33">
        <v>10.010000228881836</v>
      </c>
      <c r="E265" s="51">
        <v>-5.8941734524670275E-2</v>
      </c>
      <c r="F265" s="42">
        <v>1</v>
      </c>
      <c r="H265" s="32">
        <v>100</v>
      </c>
      <c r="I265" s="33">
        <v>6.2733335494995117</v>
      </c>
      <c r="J265" s="34">
        <v>6.690000057220459</v>
      </c>
      <c r="K265" s="33">
        <v>8.276666959126791</v>
      </c>
      <c r="L265" s="51">
        <v>-0.18248470853138996</v>
      </c>
      <c r="M265" s="42">
        <v>1</v>
      </c>
      <c r="O265" s="95">
        <f t="shared" si="26"/>
        <v>-0.28576512814226351</v>
      </c>
    </row>
    <row r="266" spans="1:15" ht="15" thickBot="1"/>
    <row r="267" spans="1:15" ht="16.25" customHeight="1" thickBot="1">
      <c r="A267" s="70" t="s">
        <v>48</v>
      </c>
      <c r="B267" s="71"/>
      <c r="C267" s="71"/>
      <c r="D267" s="71"/>
      <c r="E267" s="71"/>
      <c r="F267" s="71"/>
      <c r="G267" s="72"/>
      <c r="H267" s="70" t="s">
        <v>48</v>
      </c>
      <c r="I267" s="71"/>
      <c r="J267" s="71"/>
      <c r="K267" s="71"/>
      <c r="L267" s="71"/>
      <c r="M267" s="71"/>
      <c r="N267" s="72"/>
      <c r="O267" s="87"/>
    </row>
    <row r="268" spans="1:15" ht="26">
      <c r="A268" s="48" t="s">
        <v>14</v>
      </c>
      <c r="B268" s="49" t="s">
        <v>15</v>
      </c>
      <c r="C268" s="49" t="s">
        <v>0</v>
      </c>
      <c r="D268" s="49" t="s">
        <v>1</v>
      </c>
      <c r="E268" s="49" t="s">
        <v>16</v>
      </c>
      <c r="F268" s="50" t="s">
        <v>17</v>
      </c>
      <c r="G268" s="47"/>
      <c r="H268" s="48" t="s">
        <v>14</v>
      </c>
      <c r="I268" s="49" t="s">
        <v>15</v>
      </c>
      <c r="J268" s="49" t="s">
        <v>0</v>
      </c>
      <c r="K268" s="49" t="s">
        <v>1</v>
      </c>
      <c r="L268" s="49" t="s">
        <v>16</v>
      </c>
      <c r="M268" s="50" t="s">
        <v>17</v>
      </c>
      <c r="N268" s="47"/>
      <c r="O268" s="88"/>
    </row>
    <row r="269" spans="1:15" ht="15.5">
      <c r="A269" s="25">
        <v>1</v>
      </c>
      <c r="B269" s="26">
        <v>8.5333331425984706</v>
      </c>
      <c r="C269" s="27">
        <v>8.5333331425984706</v>
      </c>
      <c r="D269" s="26">
        <v>8.5333331425984706</v>
      </c>
      <c r="E269" s="54" t="s">
        <v>18</v>
      </c>
      <c r="F269" s="30">
        <v>1</v>
      </c>
      <c r="H269" s="25">
        <v>1</v>
      </c>
      <c r="I269" s="26">
        <v>7.7300000190734863</v>
      </c>
      <c r="J269" s="27">
        <v>7.7300000190734863</v>
      </c>
      <c r="K269" s="26">
        <v>7.7300000190734863</v>
      </c>
      <c r="L269" s="54" t="s">
        <v>18</v>
      </c>
      <c r="M269" s="30">
        <v>1</v>
      </c>
      <c r="O269" s="89">
        <f t="shared" ref="O269:O274" si="27">(J269-C269)/C269</f>
        <v>-9.4140602517290534E-2</v>
      </c>
    </row>
    <row r="270" spans="1:15" ht="15.5">
      <c r="A270" s="25">
        <v>5</v>
      </c>
      <c r="B270" s="26">
        <v>7.7866667111714678</v>
      </c>
      <c r="C270" s="27">
        <v>8.1733334859212246</v>
      </c>
      <c r="D270" s="26">
        <v>8.8499997456868496</v>
      </c>
      <c r="E270" s="53">
        <v>-4.2187460709828005E-2</v>
      </c>
      <c r="F270" s="30">
        <v>1</v>
      </c>
      <c r="H270" s="25">
        <v>5</v>
      </c>
      <c r="I270" s="26">
        <v>3.6533333460489907</v>
      </c>
      <c r="J270" s="27">
        <v>4.7333332697550459</v>
      </c>
      <c r="K270" s="26">
        <v>8.1400000254313145</v>
      </c>
      <c r="L270" s="53">
        <v>-0.38766710762280432</v>
      </c>
      <c r="M270" s="30">
        <v>1</v>
      </c>
      <c r="O270" s="95">
        <f t="shared" si="27"/>
        <v>-0.42088093213028283</v>
      </c>
    </row>
    <row r="271" spans="1:15" ht="15.5">
      <c r="A271" s="25">
        <v>10</v>
      </c>
      <c r="B271" s="26">
        <v>7.6066667238871259</v>
      </c>
      <c r="C271" s="27">
        <v>7.9199999173482256</v>
      </c>
      <c r="D271" s="26">
        <v>8.5766668319702148</v>
      </c>
      <c r="E271" s="53">
        <v>-7.1874988940544282E-2</v>
      </c>
      <c r="F271" s="30">
        <v>1</v>
      </c>
      <c r="H271" s="25">
        <v>10</v>
      </c>
      <c r="I271" s="26">
        <v>3.4933333396911621</v>
      </c>
      <c r="J271" s="27">
        <v>4.1499999364217119</v>
      </c>
      <c r="K271" s="26">
        <v>7.9533335367838545</v>
      </c>
      <c r="L271" s="53">
        <v>-0.46313066931672159</v>
      </c>
      <c r="M271" s="30">
        <v>1</v>
      </c>
      <c r="O271" s="95">
        <f t="shared" si="27"/>
        <v>-0.47601010356939311</v>
      </c>
    </row>
    <row r="272" spans="1:15" ht="15.5">
      <c r="A272" s="25">
        <v>20</v>
      </c>
      <c r="B272" s="26">
        <v>7.6066665649414063</v>
      </c>
      <c r="C272" s="27">
        <v>7.8866666158040362</v>
      </c>
      <c r="D272" s="26">
        <v>8.7899999618530273</v>
      </c>
      <c r="E272" s="53">
        <v>-7.5781235302565392E-2</v>
      </c>
      <c r="F272" s="30">
        <v>1</v>
      </c>
      <c r="H272" s="25">
        <v>20</v>
      </c>
      <c r="I272" s="26">
        <v>3.4733333587646484</v>
      </c>
      <c r="J272" s="27">
        <v>3.8733333746592202</v>
      </c>
      <c r="K272" s="26">
        <v>8.0233333905537929</v>
      </c>
      <c r="L272" s="53">
        <v>-0.49892194500622061</v>
      </c>
      <c r="M272" s="30">
        <v>1</v>
      </c>
      <c r="O272" s="95">
        <f t="shared" si="27"/>
        <v>-0.50887573123764673</v>
      </c>
    </row>
    <row r="273" spans="1:15" ht="15.5">
      <c r="A273" s="25">
        <v>50</v>
      </c>
      <c r="B273" s="26">
        <v>8.2866667111714687</v>
      </c>
      <c r="C273" s="27">
        <v>9.1633332570393886</v>
      </c>
      <c r="D273" s="26">
        <v>10.320000012715658</v>
      </c>
      <c r="E273" s="53">
        <v>7.3828140061232589E-2</v>
      </c>
      <c r="F273" s="30">
        <v>1</v>
      </c>
      <c r="H273" s="25">
        <v>50</v>
      </c>
      <c r="I273" s="26">
        <v>3.5933332443237305</v>
      </c>
      <c r="J273" s="27">
        <v>3.9300000667572021</v>
      </c>
      <c r="K273" s="26">
        <v>8.1000002225240078</v>
      </c>
      <c r="L273" s="53">
        <v>-0.49159119572314697</v>
      </c>
      <c r="M273" s="30">
        <v>1</v>
      </c>
      <c r="O273" s="95">
        <f>(J273-C273)/C273</f>
        <v>-0.57111675887831248</v>
      </c>
    </row>
    <row r="274" spans="1:15" ht="16" thickBot="1">
      <c r="A274" s="32">
        <v>100</v>
      </c>
      <c r="B274" s="33">
        <v>8.353333155314127</v>
      </c>
      <c r="C274" s="34">
        <v>9.7000001271565761</v>
      </c>
      <c r="D274" s="33">
        <v>11.669999758402506</v>
      </c>
      <c r="E274" s="51">
        <v>0.13671879030880607</v>
      </c>
      <c r="F274" s="42">
        <v>1</v>
      </c>
      <c r="H274" s="32">
        <v>100</v>
      </c>
      <c r="I274" s="33">
        <v>3.5</v>
      </c>
      <c r="J274" s="34">
        <v>3.8699999650319419</v>
      </c>
      <c r="K274" s="33">
        <v>8.2566665013631191</v>
      </c>
      <c r="L274" s="51">
        <v>-0.49935317522860784</v>
      </c>
      <c r="M274" s="42">
        <v>1</v>
      </c>
      <c r="O274" s="95">
        <f t="shared" si="27"/>
        <v>-0.60103093667006158</v>
      </c>
    </row>
    <row r="275" spans="1:15" ht="15" thickBot="1"/>
    <row r="276" spans="1:15" ht="16.25" customHeight="1" thickBot="1">
      <c r="A276" s="70" t="s">
        <v>49</v>
      </c>
      <c r="B276" s="71"/>
      <c r="C276" s="71"/>
      <c r="D276" s="71"/>
      <c r="E276" s="71"/>
      <c r="F276" s="71"/>
      <c r="G276" s="72"/>
      <c r="H276" s="70" t="s">
        <v>49</v>
      </c>
      <c r="I276" s="71"/>
      <c r="J276" s="71"/>
      <c r="K276" s="71"/>
      <c r="L276" s="71"/>
      <c r="M276" s="71"/>
      <c r="N276" s="72"/>
      <c r="O276" s="87"/>
    </row>
    <row r="277" spans="1:15" ht="26">
      <c r="A277" s="48" t="s">
        <v>14</v>
      </c>
      <c r="B277" s="49" t="s">
        <v>15</v>
      </c>
      <c r="C277" s="49" t="s">
        <v>0</v>
      </c>
      <c r="D277" s="49" t="s">
        <v>1</v>
      </c>
      <c r="E277" s="49" t="s">
        <v>16</v>
      </c>
      <c r="F277" s="50" t="s">
        <v>17</v>
      </c>
      <c r="G277" s="47"/>
      <c r="H277" s="48" t="s">
        <v>14</v>
      </c>
      <c r="I277" s="49" t="s">
        <v>15</v>
      </c>
      <c r="J277" s="49" t="s">
        <v>0</v>
      </c>
      <c r="K277" s="49" t="s">
        <v>1</v>
      </c>
      <c r="L277" s="49" t="s">
        <v>16</v>
      </c>
      <c r="M277" s="50" t="s">
        <v>17</v>
      </c>
      <c r="N277" s="47"/>
      <c r="O277" s="88"/>
    </row>
    <row r="278" spans="1:15" ht="15.5">
      <c r="A278" s="25">
        <v>1</v>
      </c>
      <c r="B278" s="26">
        <v>8.296666781107584</v>
      </c>
      <c r="C278" s="27">
        <v>8.296666781107584</v>
      </c>
      <c r="D278" s="26">
        <v>8.296666781107584</v>
      </c>
      <c r="E278" s="54" t="s">
        <v>18</v>
      </c>
      <c r="F278" s="30">
        <v>1</v>
      </c>
      <c r="H278" s="25">
        <v>1</v>
      </c>
      <c r="I278" s="26">
        <v>7.5300000508626299</v>
      </c>
      <c r="J278" s="27">
        <v>7.5300000508626299</v>
      </c>
      <c r="K278" s="26">
        <v>7.5300000508626299</v>
      </c>
      <c r="L278" s="54" t="s">
        <v>18</v>
      </c>
      <c r="M278" s="30">
        <v>1</v>
      </c>
      <c r="O278" s="89">
        <f t="shared" ref="O278:O283" si="28">(J278-C278)/C278</f>
        <v>-9.2406595380055273E-2</v>
      </c>
    </row>
    <row r="279" spans="1:15" ht="15.5">
      <c r="A279" s="25">
        <v>5</v>
      </c>
      <c r="B279" s="26">
        <v>7.583333333333333</v>
      </c>
      <c r="C279" s="27">
        <v>7.8900000254313154</v>
      </c>
      <c r="D279" s="26">
        <v>8.4133332570393886</v>
      </c>
      <c r="E279" s="53">
        <v>-4.9015678995604987E-2</v>
      </c>
      <c r="F279" s="30">
        <v>1</v>
      </c>
      <c r="H279" s="25">
        <v>5</v>
      </c>
      <c r="I279" s="26">
        <v>6.059999942779541</v>
      </c>
      <c r="J279" s="27">
        <v>6.5500000317891436</v>
      </c>
      <c r="K279" s="26">
        <v>7.8166666030883789</v>
      </c>
      <c r="L279" s="53">
        <v>-0.13014608399122368</v>
      </c>
      <c r="M279" s="30">
        <v>1</v>
      </c>
      <c r="O279" s="89">
        <f t="shared" si="28"/>
        <v>-0.16983523312079069</v>
      </c>
    </row>
    <row r="280" spans="1:15" ht="15.5">
      <c r="A280" s="25">
        <v>10</v>
      </c>
      <c r="B280" s="26">
        <v>7.4799998601277666</v>
      </c>
      <c r="C280" s="27">
        <v>7.9100000063578291</v>
      </c>
      <c r="D280" s="26">
        <v>8.4333333969116211</v>
      </c>
      <c r="E280" s="53">
        <v>-4.6605074658444455E-2</v>
      </c>
      <c r="F280" s="30">
        <v>1</v>
      </c>
      <c r="H280" s="25">
        <v>10</v>
      </c>
      <c r="I280" s="26">
        <v>5.980000178019206</v>
      </c>
      <c r="J280" s="27">
        <v>6.3366667429606123</v>
      </c>
      <c r="K280" s="26">
        <v>7.5866667429606123</v>
      </c>
      <c r="L280" s="53">
        <v>-0.1584771978541103</v>
      </c>
      <c r="M280" s="30">
        <v>1</v>
      </c>
      <c r="O280" s="89">
        <f t="shared" si="28"/>
        <v>-0.19890433149590608</v>
      </c>
    </row>
    <row r="281" spans="1:15" ht="15.5">
      <c r="A281" s="25">
        <v>20</v>
      </c>
      <c r="B281" s="26">
        <v>7.3999999364217119</v>
      </c>
      <c r="C281" s="27">
        <v>7.7833333015441895</v>
      </c>
      <c r="D281" s="26">
        <v>8.3066666920979824</v>
      </c>
      <c r="E281" s="53">
        <v>-6.1872254618241501E-2</v>
      </c>
      <c r="F281" s="30">
        <v>1</v>
      </c>
      <c r="H281" s="25">
        <v>20</v>
      </c>
      <c r="I281" s="26">
        <v>5.9466667175292969</v>
      </c>
      <c r="J281" s="27">
        <v>6.2700001398722334</v>
      </c>
      <c r="K281" s="26">
        <v>7.6999999682108564</v>
      </c>
      <c r="L281" s="53">
        <v>-0.16733066433990954</v>
      </c>
      <c r="M281" s="30">
        <v>1</v>
      </c>
      <c r="O281" s="89">
        <f t="shared" si="28"/>
        <v>-0.19443252691898924</v>
      </c>
    </row>
    <row r="282" spans="1:15" ht="15.5">
      <c r="A282" s="25">
        <v>50</v>
      </c>
      <c r="B282" s="26">
        <v>7.2966667811075849</v>
      </c>
      <c r="C282" s="27">
        <v>7.7433333396911621</v>
      </c>
      <c r="D282" s="26">
        <v>8.75</v>
      </c>
      <c r="E282" s="53">
        <v>-6.6693463292562566E-2</v>
      </c>
      <c r="F282" s="30">
        <v>1</v>
      </c>
      <c r="H282" s="25">
        <v>50</v>
      </c>
      <c r="I282" s="26">
        <v>5.7833334604899092</v>
      </c>
      <c r="J282" s="27">
        <v>6.2833333015441895</v>
      </c>
      <c r="K282" s="26">
        <v>7.963333447774251</v>
      </c>
      <c r="L282" s="53">
        <v>-0.16555999215107886</v>
      </c>
      <c r="M282" s="30">
        <v>1</v>
      </c>
      <c r="O282" s="89">
        <f t="shared" si="28"/>
        <v>-0.18854929448319524</v>
      </c>
    </row>
    <row r="283" spans="1:15" ht="16" thickBot="1">
      <c r="A283" s="32">
        <v>100</v>
      </c>
      <c r="B283" s="33">
        <v>7.3633332252502441</v>
      </c>
      <c r="C283" s="34">
        <v>7.7966666221618652</v>
      </c>
      <c r="D283" s="33">
        <v>8.7766666412353516</v>
      </c>
      <c r="E283" s="51">
        <v>-6.026518506013448E-2</v>
      </c>
      <c r="F283" s="42">
        <v>1</v>
      </c>
      <c r="H283" s="32">
        <v>100</v>
      </c>
      <c r="I283" s="33">
        <v>5.7566666603088379</v>
      </c>
      <c r="J283" s="34">
        <v>6.1133333841959638</v>
      </c>
      <c r="K283" s="33">
        <v>7.6333333651224775</v>
      </c>
      <c r="L283" s="51">
        <v>-0.18813634224403147</v>
      </c>
      <c r="M283" s="42">
        <v>1</v>
      </c>
      <c r="O283" s="95">
        <f t="shared" si="28"/>
        <v>-0.21590422157862452</v>
      </c>
    </row>
    <row r="284" spans="1:15" ht="15" thickBot="1"/>
    <row r="285" spans="1:15" ht="16.25" customHeight="1" thickBot="1">
      <c r="A285" s="70" t="s">
        <v>50</v>
      </c>
      <c r="B285" s="71"/>
      <c r="C285" s="71"/>
      <c r="D285" s="71"/>
      <c r="E285" s="71"/>
      <c r="F285" s="71"/>
      <c r="G285" s="72"/>
      <c r="H285" s="70" t="s">
        <v>50</v>
      </c>
      <c r="I285" s="71"/>
      <c r="J285" s="71"/>
      <c r="K285" s="71"/>
      <c r="L285" s="71"/>
      <c r="M285" s="71"/>
      <c r="N285" s="72"/>
      <c r="O285" s="87"/>
    </row>
    <row r="286" spans="1:15" ht="26">
      <c r="A286" s="48" t="s">
        <v>14</v>
      </c>
      <c r="B286" s="49" t="s">
        <v>15</v>
      </c>
      <c r="C286" s="49" t="s">
        <v>0</v>
      </c>
      <c r="D286" s="49" t="s">
        <v>1</v>
      </c>
      <c r="E286" s="49" t="s">
        <v>16</v>
      </c>
      <c r="F286" s="50" t="s">
        <v>17</v>
      </c>
      <c r="G286" s="47"/>
      <c r="H286" s="48" t="s">
        <v>14</v>
      </c>
      <c r="I286" s="49" t="s">
        <v>15</v>
      </c>
      <c r="J286" s="49" t="s">
        <v>0</v>
      </c>
      <c r="K286" s="49" t="s">
        <v>1</v>
      </c>
      <c r="L286" s="49" t="s">
        <v>16</v>
      </c>
      <c r="M286" s="50" t="s">
        <v>17</v>
      </c>
      <c r="N286" s="47"/>
      <c r="O286" s="88"/>
    </row>
    <row r="287" spans="1:15" ht="15.5">
      <c r="A287" s="25">
        <v>1</v>
      </c>
      <c r="B287" s="26">
        <v>7.7433333396911621</v>
      </c>
      <c r="C287" s="27">
        <v>7.7433333396911621</v>
      </c>
      <c r="D287" s="26">
        <v>7.7433333396911621</v>
      </c>
      <c r="E287" s="54" t="s">
        <v>18</v>
      </c>
      <c r="F287" s="30">
        <v>1</v>
      </c>
      <c r="H287" s="25">
        <v>1</v>
      </c>
      <c r="I287" s="26">
        <v>6.2466665903727217</v>
      </c>
      <c r="J287" s="27">
        <v>6.2466665903727217</v>
      </c>
      <c r="K287" s="26">
        <v>6.2466665903727217</v>
      </c>
      <c r="L287" s="54" t="s">
        <v>18</v>
      </c>
      <c r="M287" s="30">
        <v>1</v>
      </c>
      <c r="O287" s="89">
        <f t="shared" ref="O287:O292" si="29">(J287-C287)/C287</f>
        <v>-0.19328455636111541</v>
      </c>
    </row>
    <row r="288" spans="1:15" ht="15.5">
      <c r="A288" s="25">
        <v>5</v>
      </c>
      <c r="B288" s="26">
        <v>6.8666667938232422</v>
      </c>
      <c r="C288" s="27">
        <v>7.1833332379659014</v>
      </c>
      <c r="D288" s="26">
        <v>7.7933335304260254</v>
      </c>
      <c r="E288" s="53">
        <v>-7.2320288583572201E-2</v>
      </c>
      <c r="F288" s="30">
        <v>1</v>
      </c>
      <c r="H288" s="25">
        <v>5</v>
      </c>
      <c r="I288" s="26">
        <v>4.9066665967305498</v>
      </c>
      <c r="J288" s="27">
        <v>5.3700000445048017</v>
      </c>
      <c r="K288" s="26">
        <v>6.1766667366027832</v>
      </c>
      <c r="L288" s="53">
        <v>-0.14034149785087402</v>
      </c>
      <c r="M288" s="30">
        <v>1</v>
      </c>
      <c r="O288" s="95">
        <f t="shared" si="29"/>
        <v>-0.25243617877521435</v>
      </c>
    </row>
    <row r="289" spans="1:15" ht="15.5">
      <c r="A289" s="25">
        <v>10</v>
      </c>
      <c r="B289" s="26">
        <v>6.6366667747497559</v>
      </c>
      <c r="C289" s="27">
        <v>7.0133333206176758</v>
      </c>
      <c r="D289" s="26">
        <v>7.5500000317891436</v>
      </c>
      <c r="E289" s="53">
        <v>-9.427464724159762E-2</v>
      </c>
      <c r="F289" s="30">
        <v>1</v>
      </c>
      <c r="H289" s="25">
        <v>10</v>
      </c>
      <c r="I289" s="26">
        <v>4.7533334096272783</v>
      </c>
      <c r="J289" s="27">
        <v>5.1799999872843427</v>
      </c>
      <c r="K289" s="26">
        <v>6.3833333651224775</v>
      </c>
      <c r="L289" s="53">
        <v>-0.1707577293675816</v>
      </c>
      <c r="M289" s="30">
        <v>1</v>
      </c>
      <c r="O289" s="95">
        <f t="shared" si="29"/>
        <v>-0.26140684458041247</v>
      </c>
    </row>
    <row r="290" spans="1:15" ht="15.5">
      <c r="A290" s="25">
        <v>20</v>
      </c>
      <c r="B290" s="26">
        <v>6.3900000254313154</v>
      </c>
      <c r="C290" s="27">
        <v>6.8000000317891436</v>
      </c>
      <c r="D290" s="26">
        <v>8.4833334287007656</v>
      </c>
      <c r="E290" s="53">
        <v>-0.1218252226165486</v>
      </c>
      <c r="F290" s="30">
        <v>1</v>
      </c>
      <c r="H290" s="25">
        <v>20</v>
      </c>
      <c r="I290" s="26">
        <v>4.4933333396911621</v>
      </c>
      <c r="J290" s="27">
        <v>4.7366665204366045</v>
      </c>
      <c r="K290" s="26">
        <v>5.7599999109903974</v>
      </c>
      <c r="L290" s="53">
        <v>-0.24172893623989936</v>
      </c>
      <c r="M290" s="30">
        <v>1</v>
      </c>
      <c r="O290" s="95">
        <f t="shared" si="29"/>
        <v>-0.303431397309811</v>
      </c>
    </row>
    <row r="291" spans="1:15" ht="15.5">
      <c r="A291" s="25">
        <v>50</v>
      </c>
      <c r="B291" s="26">
        <v>6.4799998601277666</v>
      </c>
      <c r="C291" s="27">
        <v>6.8100001017252607</v>
      </c>
      <c r="D291" s="26">
        <v>7.6533333460489912</v>
      </c>
      <c r="E291" s="53">
        <v>-0.12053378009464936</v>
      </c>
      <c r="F291" s="30">
        <v>1</v>
      </c>
      <c r="H291" s="25">
        <v>50</v>
      </c>
      <c r="I291" s="26">
        <v>4.4299999872843427</v>
      </c>
      <c r="J291" s="27">
        <v>4.75</v>
      </c>
      <c r="K291" s="26">
        <v>5.8399999936421709</v>
      </c>
      <c r="L291" s="53">
        <v>-0.23959444108628497</v>
      </c>
      <c r="M291" s="30">
        <v>1</v>
      </c>
      <c r="O291" s="95">
        <f t="shared" si="29"/>
        <v>-0.30249633934709863</v>
      </c>
    </row>
    <row r="292" spans="1:15" ht="16" thickBot="1">
      <c r="A292" s="32">
        <v>100</v>
      </c>
      <c r="B292" s="33">
        <v>6.1566665967305498</v>
      </c>
      <c r="C292" s="34">
        <v>6.6033333142598467</v>
      </c>
      <c r="D292" s="33">
        <v>7.7899999618530273</v>
      </c>
      <c r="E292" s="51">
        <v>-0.14722342115737763</v>
      </c>
      <c r="F292" s="42">
        <v>1</v>
      </c>
      <c r="H292" s="32">
        <v>100</v>
      </c>
      <c r="I292" s="33">
        <v>4.3799999554951983</v>
      </c>
      <c r="J292" s="34">
        <v>4.6333333651224775</v>
      </c>
      <c r="K292" s="33">
        <v>6.4833334287007647</v>
      </c>
      <c r="L292" s="51">
        <v>-0.25827106376010073</v>
      </c>
      <c r="M292" s="42">
        <v>1</v>
      </c>
      <c r="O292" s="95">
        <f t="shared" si="29"/>
        <v>-0.29833416781842131</v>
      </c>
    </row>
    <row r="293" spans="1:15" ht="15" thickBot="1"/>
    <row r="294" spans="1:15" ht="16.25" customHeight="1" thickBot="1">
      <c r="A294" s="70" t="s">
        <v>51</v>
      </c>
      <c r="B294" s="71"/>
      <c r="C294" s="71"/>
      <c r="D294" s="71"/>
      <c r="E294" s="71"/>
      <c r="F294" s="71"/>
      <c r="G294" s="72"/>
      <c r="H294" s="70" t="s">
        <v>51</v>
      </c>
      <c r="I294" s="71"/>
      <c r="J294" s="71"/>
      <c r="K294" s="71"/>
      <c r="L294" s="71"/>
      <c r="M294" s="71"/>
      <c r="N294" s="72"/>
      <c r="O294" s="87"/>
    </row>
    <row r="295" spans="1:15" ht="26">
      <c r="A295" s="48" t="s">
        <v>14</v>
      </c>
      <c r="B295" s="49" t="s">
        <v>15</v>
      </c>
      <c r="C295" s="49" t="s">
        <v>0</v>
      </c>
      <c r="D295" s="49" t="s">
        <v>1</v>
      </c>
      <c r="E295" s="49" t="s">
        <v>16</v>
      </c>
      <c r="F295" s="50" t="s">
        <v>17</v>
      </c>
      <c r="G295" s="47"/>
      <c r="H295" s="48" t="s">
        <v>14</v>
      </c>
      <c r="I295" s="49" t="s">
        <v>15</v>
      </c>
      <c r="J295" s="49" t="s">
        <v>0</v>
      </c>
      <c r="K295" s="49" t="s">
        <v>1</v>
      </c>
      <c r="L295" s="49" t="s">
        <v>16</v>
      </c>
      <c r="M295" s="50" t="s">
        <v>17</v>
      </c>
      <c r="N295" s="47"/>
      <c r="O295" s="88"/>
    </row>
    <row r="296" spans="1:15" ht="15.5">
      <c r="A296" s="25">
        <v>1</v>
      </c>
      <c r="B296" s="26">
        <v>8.9600000381469727</v>
      </c>
      <c r="C296" s="27">
        <v>8.9600000381469727</v>
      </c>
      <c r="D296" s="26">
        <v>8.9600000381469727</v>
      </c>
      <c r="E296" s="54" t="s">
        <v>18</v>
      </c>
      <c r="F296" s="30">
        <v>1</v>
      </c>
      <c r="H296" s="25">
        <v>1</v>
      </c>
      <c r="I296" s="26">
        <v>7.8399999936421709</v>
      </c>
      <c r="J296" s="27">
        <v>7.8399999936421709</v>
      </c>
      <c r="K296" s="26">
        <v>7.8399999936421709</v>
      </c>
      <c r="L296" s="54" t="s">
        <v>18</v>
      </c>
      <c r="M296" s="30">
        <v>1</v>
      </c>
      <c r="O296" s="89">
        <f t="shared" ref="O296:O301" si="30">(J296-C296)/C296</f>
        <v>-0.12500000443486942</v>
      </c>
    </row>
    <row r="297" spans="1:15" ht="15.5">
      <c r="A297" s="25">
        <v>5</v>
      </c>
      <c r="B297" s="26">
        <v>9.1499999364217128</v>
      </c>
      <c r="C297" s="27">
        <v>9.5333331425984706</v>
      </c>
      <c r="D297" s="26">
        <v>9.8599996566772461</v>
      </c>
      <c r="E297" s="53">
        <v>6.3988069420819957E-2</v>
      </c>
      <c r="F297" s="30">
        <v>1</v>
      </c>
      <c r="H297" s="25">
        <v>5</v>
      </c>
      <c r="I297" s="26">
        <v>7.4333333969116211</v>
      </c>
      <c r="J297" s="27">
        <v>8.1200002034505214</v>
      </c>
      <c r="K297" s="26">
        <v>8.9666665395100917</v>
      </c>
      <c r="L297" s="53">
        <v>3.5714312504517343E-2</v>
      </c>
      <c r="M297" s="30">
        <v>1</v>
      </c>
      <c r="O297" s="89">
        <f t="shared" si="30"/>
        <v>-0.14825170986972575</v>
      </c>
    </row>
    <row r="298" spans="1:15" ht="15.5">
      <c r="A298" s="25">
        <v>10</v>
      </c>
      <c r="B298" s="26">
        <v>9.0399999618530273</v>
      </c>
      <c r="C298" s="27">
        <v>9.5966669718424473</v>
      </c>
      <c r="D298" s="26">
        <v>10.173333485921225</v>
      </c>
      <c r="E298" s="53">
        <v>7.1056577118848371E-2</v>
      </c>
      <c r="F298" s="30">
        <v>1</v>
      </c>
      <c r="H298" s="25">
        <v>10</v>
      </c>
      <c r="I298" s="26">
        <v>7.3633333841959638</v>
      </c>
      <c r="J298" s="27">
        <v>7.7599999109903974</v>
      </c>
      <c r="K298" s="26">
        <v>8.6266667048136387</v>
      </c>
      <c r="L298" s="53">
        <v>-1.0204092183246093E-2</v>
      </c>
      <c r="M298" s="30">
        <v>1</v>
      </c>
      <c r="O298" s="89">
        <f t="shared" si="30"/>
        <v>-0.19138593287034023</v>
      </c>
    </row>
    <row r="299" spans="1:15" ht="15.5">
      <c r="A299" s="25">
        <v>20</v>
      </c>
      <c r="B299" s="26">
        <v>8.6266667048136387</v>
      </c>
      <c r="C299" s="27">
        <v>8.983333269755045</v>
      </c>
      <c r="D299" s="26">
        <v>9.4233331680297852</v>
      </c>
      <c r="E299" s="53">
        <v>2.6041553023138041E-3</v>
      </c>
      <c r="F299" s="30">
        <v>1</v>
      </c>
      <c r="H299" s="25">
        <v>20</v>
      </c>
      <c r="I299" s="26">
        <v>6.8266666730244951</v>
      </c>
      <c r="J299" s="27">
        <v>7.2366666793823242</v>
      </c>
      <c r="K299" s="26">
        <v>8.0033334096272792</v>
      </c>
      <c r="L299" s="53">
        <v>-7.6955779942489588E-2</v>
      </c>
      <c r="M299" s="30">
        <v>1</v>
      </c>
      <c r="O299" s="89">
        <f t="shared" si="30"/>
        <v>-0.19443413017452801</v>
      </c>
    </row>
    <row r="300" spans="1:15" ht="15.5">
      <c r="A300" s="25">
        <v>50</v>
      </c>
      <c r="B300" s="26">
        <v>8.5399999618530273</v>
      </c>
      <c r="C300" s="27">
        <v>8.9666668574015294</v>
      </c>
      <c r="D300" s="26">
        <v>9.6066665649414063</v>
      </c>
      <c r="E300" s="53">
        <v>7.4406464577822387E-4</v>
      </c>
      <c r="F300" s="30">
        <v>1</v>
      </c>
      <c r="H300" s="25">
        <v>50</v>
      </c>
      <c r="I300" s="26">
        <v>6.8633333841959638</v>
      </c>
      <c r="J300" s="27">
        <v>7.2199999491373701</v>
      </c>
      <c r="K300" s="26">
        <v>8.1866668065389003</v>
      </c>
      <c r="L300" s="53">
        <v>-7.9081638393825052E-2</v>
      </c>
      <c r="M300" s="30">
        <v>1</v>
      </c>
      <c r="O300" s="89">
        <f t="shared" si="30"/>
        <v>-0.19479556183381277</v>
      </c>
    </row>
    <row r="301" spans="1:15" ht="16" thickBot="1">
      <c r="A301" s="32">
        <v>100</v>
      </c>
      <c r="B301" s="33">
        <v>8.7833331425984706</v>
      </c>
      <c r="C301" s="34">
        <v>9.1233329772949219</v>
      </c>
      <c r="D301" s="33">
        <v>9.6333335240681972</v>
      </c>
      <c r="E301" s="51">
        <v>1.8229122595152164E-2</v>
      </c>
      <c r="F301" s="42">
        <v>1</v>
      </c>
      <c r="H301" s="32">
        <v>100</v>
      </c>
      <c r="I301" s="33">
        <v>7.0966666539510088</v>
      </c>
      <c r="J301" s="34">
        <v>7.4299999872843427</v>
      </c>
      <c r="K301" s="33">
        <v>8.3599999745686855</v>
      </c>
      <c r="L301" s="51">
        <v>-5.229591922070366E-2</v>
      </c>
      <c r="M301" s="42">
        <v>1</v>
      </c>
      <c r="O301" s="89">
        <f t="shared" si="30"/>
        <v>-0.18560464626521328</v>
      </c>
    </row>
  </sheetData>
  <mergeCells count="67">
    <mergeCell ref="A1:AR1"/>
    <mergeCell ref="A3:AR3"/>
    <mergeCell ref="A285:G285"/>
    <mergeCell ref="H285:N285"/>
    <mergeCell ref="A294:G294"/>
    <mergeCell ref="H294:N294"/>
    <mergeCell ref="A258:G258"/>
    <mergeCell ref="H258:N258"/>
    <mergeCell ref="A267:G267"/>
    <mergeCell ref="H267:N267"/>
    <mergeCell ref="A276:G276"/>
    <mergeCell ref="H276:N276"/>
    <mergeCell ref="A2:AR2"/>
    <mergeCell ref="A9:G9"/>
    <mergeCell ref="H9:N9"/>
    <mergeCell ref="A19:G19"/>
    <mergeCell ref="H19:N19"/>
    <mergeCell ref="H7:K7"/>
    <mergeCell ref="A7:D7"/>
    <mergeCell ref="H29:N29"/>
    <mergeCell ref="A39:G39"/>
    <mergeCell ref="H39:N39"/>
    <mergeCell ref="A59:G59"/>
    <mergeCell ref="H59:N59"/>
    <mergeCell ref="A49:F49"/>
    <mergeCell ref="A29:G29"/>
    <mergeCell ref="H49:M49"/>
    <mergeCell ref="A69:G69"/>
    <mergeCell ref="H69:N69"/>
    <mergeCell ref="A79:G79"/>
    <mergeCell ref="H79:N79"/>
    <mergeCell ref="A89:G89"/>
    <mergeCell ref="H89:N89"/>
    <mergeCell ref="A99:G99"/>
    <mergeCell ref="H99:N99"/>
    <mergeCell ref="A119:G119"/>
    <mergeCell ref="H119:N119"/>
    <mergeCell ref="A129:G129"/>
    <mergeCell ref="H129:N129"/>
    <mergeCell ref="A109:F109"/>
    <mergeCell ref="H109:M109"/>
    <mergeCell ref="A139:G139"/>
    <mergeCell ref="H139:N139"/>
    <mergeCell ref="A149:G149"/>
    <mergeCell ref="H149:N149"/>
    <mergeCell ref="A159:G159"/>
    <mergeCell ref="H159:N159"/>
    <mergeCell ref="A168:G168"/>
    <mergeCell ref="H168:N168"/>
    <mergeCell ref="A177:G177"/>
    <mergeCell ref="H177:N177"/>
    <mergeCell ref="A186:G186"/>
    <mergeCell ref="H186:N186"/>
    <mergeCell ref="A195:G195"/>
    <mergeCell ref="H195:N195"/>
    <mergeCell ref="A204:G204"/>
    <mergeCell ref="H204:N204"/>
    <mergeCell ref="A213:G213"/>
    <mergeCell ref="H213:N213"/>
    <mergeCell ref="A249:G249"/>
    <mergeCell ref="H249:N249"/>
    <mergeCell ref="A222:G222"/>
    <mergeCell ref="H222:N222"/>
    <mergeCell ref="A231:G231"/>
    <mergeCell ref="H231:N231"/>
    <mergeCell ref="A240:G240"/>
    <mergeCell ref="H240:N240"/>
  </mergeCells>
  <conditionalFormatting sqref="K11">
    <cfRule type="cellIs" dxfId="755" priority="7257" stopIfTrue="1" operator="greaterThan">
      <formula>#REF!</formula>
    </cfRule>
    <cfRule type="cellIs" dxfId="754" priority="7258" stopIfTrue="1" operator="lessThanOrEqual">
      <formula>#REF!</formula>
    </cfRule>
  </conditionalFormatting>
  <conditionalFormatting sqref="K12">
    <cfRule type="cellIs" dxfId="753" priority="7259" stopIfTrue="1" operator="greaterThan">
      <formula>#REF!</formula>
    </cfRule>
    <cfRule type="cellIs" dxfId="752" priority="7260" stopIfTrue="1" operator="lessThanOrEqual">
      <formula>#REF!</formula>
    </cfRule>
  </conditionalFormatting>
  <conditionalFormatting sqref="K13">
    <cfRule type="cellIs" dxfId="751" priority="7261" stopIfTrue="1" operator="greaterThan">
      <formula>#REF!</formula>
    </cfRule>
    <cfRule type="cellIs" dxfId="750" priority="7262" stopIfTrue="1" operator="lessThanOrEqual">
      <formula>#REF!</formula>
    </cfRule>
  </conditionalFormatting>
  <conditionalFormatting sqref="K14">
    <cfRule type="cellIs" dxfId="749" priority="7263" stopIfTrue="1" operator="greaterThan">
      <formula>#REF!</formula>
    </cfRule>
    <cfRule type="cellIs" dxfId="748" priority="7264" stopIfTrue="1" operator="lessThanOrEqual">
      <formula>#REF!</formula>
    </cfRule>
  </conditionalFormatting>
  <conditionalFormatting sqref="K15">
    <cfRule type="cellIs" dxfId="747" priority="7265" stopIfTrue="1" operator="greaterThan">
      <formula>#REF!</formula>
    </cfRule>
    <cfRule type="cellIs" dxfId="746" priority="7266" stopIfTrue="1" operator="lessThanOrEqual">
      <formula>#REF!</formula>
    </cfRule>
  </conditionalFormatting>
  <conditionalFormatting sqref="M81:M84">
    <cfRule type="cellIs" dxfId="745" priority="7215" stopIfTrue="1" operator="lessThan">
      <formula>1</formula>
    </cfRule>
  </conditionalFormatting>
  <conditionalFormatting sqref="M81:M84">
    <cfRule type="cellIs" dxfId="744" priority="7214" stopIfTrue="1" operator="lessThan">
      <formula>1</formula>
    </cfRule>
  </conditionalFormatting>
  <conditionalFormatting sqref="M81:M84">
    <cfRule type="cellIs" dxfId="743" priority="7217" stopIfTrue="1" operator="lessThan">
      <formula>1</formula>
    </cfRule>
  </conditionalFormatting>
  <conditionalFormatting sqref="M81:M84">
    <cfRule type="cellIs" dxfId="742" priority="7216" stopIfTrue="1" operator="lessThan">
      <formula>1</formula>
    </cfRule>
  </conditionalFormatting>
  <conditionalFormatting sqref="M71:M74">
    <cfRule type="cellIs" dxfId="741" priority="7223" stopIfTrue="1" operator="lessThan">
      <formula>1</formula>
    </cfRule>
  </conditionalFormatting>
  <conditionalFormatting sqref="M71:M74">
    <cfRule type="cellIs" dxfId="740" priority="7222" stopIfTrue="1" operator="lessThan">
      <formula>1</formula>
    </cfRule>
  </conditionalFormatting>
  <conditionalFormatting sqref="M81:M84">
    <cfRule type="cellIs" dxfId="739" priority="7213" stopIfTrue="1" operator="lessThan">
      <formula>1</formula>
    </cfRule>
  </conditionalFormatting>
  <conditionalFormatting sqref="M71:M74">
    <cfRule type="cellIs" dxfId="738" priority="7221" stopIfTrue="1" operator="lessThan">
      <formula>1</formula>
    </cfRule>
  </conditionalFormatting>
  <conditionalFormatting sqref="M71:M74">
    <cfRule type="cellIs" dxfId="737" priority="7224" stopIfTrue="1" operator="lessThan">
      <formula>1</formula>
    </cfRule>
  </conditionalFormatting>
  <conditionalFormatting sqref="K61:K64">
    <cfRule type="cellIs" dxfId="736" priority="7232" stopIfTrue="1" operator="greaterThan">
      <formula>#REF!</formula>
    </cfRule>
    <cfRule type="cellIs" dxfId="735" priority="7233" stopIfTrue="1" operator="lessThanOrEqual">
      <formula>#REF!</formula>
    </cfRule>
  </conditionalFormatting>
  <conditionalFormatting sqref="M71:M74">
    <cfRule type="cellIs" dxfId="734" priority="7220" stopIfTrue="1" operator="lessThan">
      <formula>1</formula>
    </cfRule>
  </conditionalFormatting>
  <conditionalFormatting sqref="K71:K74">
    <cfRule type="cellIs" dxfId="733" priority="7225" stopIfTrue="1" operator="greaterThan">
      <formula>#REF!</formula>
    </cfRule>
    <cfRule type="cellIs" dxfId="732" priority="7226" stopIfTrue="1" operator="lessThanOrEqual">
      <formula>#REF!</formula>
    </cfRule>
  </conditionalFormatting>
  <conditionalFormatting sqref="K81:K84">
    <cfRule type="cellIs" dxfId="731" priority="7218" stopIfTrue="1" operator="greaterThan">
      <formula>#REF!</formula>
    </cfRule>
    <cfRule type="cellIs" dxfId="730" priority="7219" stopIfTrue="1" operator="lessThanOrEqual">
      <formula>#REF!</formula>
    </cfRule>
  </conditionalFormatting>
  <conditionalFormatting sqref="K101:K104">
    <cfRule type="cellIs" dxfId="729" priority="7211" stopIfTrue="1" operator="greaterThan">
      <formula>#REF!</formula>
    </cfRule>
    <cfRule type="cellIs" dxfId="728" priority="7212" stopIfTrue="1" operator="lessThanOrEqual">
      <formula>#REF!</formula>
    </cfRule>
  </conditionalFormatting>
  <conditionalFormatting sqref="K111:K114">
    <cfRule type="cellIs" dxfId="727" priority="7204" stopIfTrue="1" operator="greaterThan">
      <formula>#REF!</formula>
    </cfRule>
    <cfRule type="cellIs" dxfId="726" priority="7205" stopIfTrue="1" operator="lessThanOrEqual">
      <formula>#REF!</formula>
    </cfRule>
  </conditionalFormatting>
  <conditionalFormatting sqref="M121:M124">
    <cfRule type="cellIs" dxfId="725" priority="7196" stopIfTrue="1" operator="lessThan">
      <formula>1</formula>
    </cfRule>
  </conditionalFormatting>
  <conditionalFormatting sqref="M121:M124">
    <cfRule type="cellIs" dxfId="724" priority="7195" stopIfTrue="1" operator="lessThan">
      <formula>1</formula>
    </cfRule>
  </conditionalFormatting>
  <conditionalFormatting sqref="M121:M124">
    <cfRule type="cellIs" dxfId="723" priority="7194" stopIfTrue="1" operator="lessThan">
      <formula>1</formula>
    </cfRule>
  </conditionalFormatting>
  <conditionalFormatting sqref="M121:M124">
    <cfRule type="cellIs" dxfId="722" priority="7193" stopIfTrue="1" operator="lessThan">
      <formula>1</formula>
    </cfRule>
  </conditionalFormatting>
  <conditionalFormatting sqref="M121:M124">
    <cfRule type="cellIs" dxfId="721" priority="7192" stopIfTrue="1" operator="lessThan">
      <formula>1</formula>
    </cfRule>
  </conditionalFormatting>
  <conditionalFormatting sqref="K121:K124">
    <cfRule type="cellIs" dxfId="720" priority="7197" stopIfTrue="1" operator="greaterThan">
      <formula>#REF!</formula>
    </cfRule>
    <cfRule type="cellIs" dxfId="719" priority="7198" stopIfTrue="1" operator="lessThanOrEqual">
      <formula>#REF!</formula>
    </cfRule>
  </conditionalFormatting>
  <conditionalFormatting sqref="M131:M134">
    <cfRule type="cellIs" dxfId="718" priority="7189" stopIfTrue="1" operator="lessThan">
      <formula>1</formula>
    </cfRule>
  </conditionalFormatting>
  <conditionalFormatting sqref="M131:M134">
    <cfRule type="cellIs" dxfId="717" priority="7188" stopIfTrue="1" operator="lessThan">
      <formula>1</formula>
    </cfRule>
  </conditionalFormatting>
  <conditionalFormatting sqref="M131:M134">
    <cfRule type="cellIs" dxfId="716" priority="7187" stopIfTrue="1" operator="lessThan">
      <formula>1</formula>
    </cfRule>
  </conditionalFormatting>
  <conditionalFormatting sqref="M131:M134">
    <cfRule type="cellIs" dxfId="715" priority="7186" stopIfTrue="1" operator="lessThan">
      <formula>1</formula>
    </cfRule>
  </conditionalFormatting>
  <conditionalFormatting sqref="M131:M134">
    <cfRule type="cellIs" dxfId="714" priority="7185" stopIfTrue="1" operator="lessThan">
      <formula>1</formula>
    </cfRule>
  </conditionalFormatting>
  <conditionalFormatting sqref="K131:K134">
    <cfRule type="cellIs" dxfId="713" priority="7190" stopIfTrue="1" operator="greaterThan">
      <formula>#REF!</formula>
    </cfRule>
    <cfRule type="cellIs" dxfId="712" priority="7191" stopIfTrue="1" operator="lessThanOrEqual">
      <formula>#REF!</formula>
    </cfRule>
  </conditionalFormatting>
  <conditionalFormatting sqref="M141:M144">
    <cfRule type="cellIs" dxfId="711" priority="7182" stopIfTrue="1" operator="lessThan">
      <formula>1</formula>
    </cfRule>
  </conditionalFormatting>
  <conditionalFormatting sqref="M141:M144">
    <cfRule type="cellIs" dxfId="710" priority="7181" stopIfTrue="1" operator="lessThan">
      <formula>1</formula>
    </cfRule>
  </conditionalFormatting>
  <conditionalFormatting sqref="M141:M144">
    <cfRule type="cellIs" dxfId="709" priority="7180" stopIfTrue="1" operator="lessThan">
      <formula>1</formula>
    </cfRule>
  </conditionalFormatting>
  <conditionalFormatting sqref="M141:M144">
    <cfRule type="cellIs" dxfId="708" priority="7179" stopIfTrue="1" operator="lessThan">
      <formula>1</formula>
    </cfRule>
  </conditionalFormatting>
  <conditionalFormatting sqref="M141:M144">
    <cfRule type="cellIs" dxfId="707" priority="7178" stopIfTrue="1" operator="lessThan">
      <formula>1</formula>
    </cfRule>
  </conditionalFormatting>
  <conditionalFormatting sqref="K141:K144">
    <cfRule type="cellIs" dxfId="706" priority="7183" stopIfTrue="1" operator="greaterThan">
      <formula>#REF!</formula>
    </cfRule>
    <cfRule type="cellIs" dxfId="705" priority="7184" stopIfTrue="1" operator="lessThanOrEqual">
      <formula>#REF!</formula>
    </cfRule>
  </conditionalFormatting>
  <conditionalFormatting sqref="M21:M24">
    <cfRule type="cellIs" dxfId="704" priority="7175" stopIfTrue="1" operator="lessThan">
      <formula>1</formula>
    </cfRule>
  </conditionalFormatting>
  <conditionalFormatting sqref="M21:M24">
    <cfRule type="cellIs" dxfId="703" priority="7174" stopIfTrue="1" operator="lessThan">
      <formula>1</formula>
    </cfRule>
  </conditionalFormatting>
  <conditionalFormatting sqref="M21:M24">
    <cfRule type="cellIs" dxfId="702" priority="7173" stopIfTrue="1" operator="lessThan">
      <formula>1</formula>
    </cfRule>
  </conditionalFormatting>
  <conditionalFormatting sqref="M21:M24">
    <cfRule type="cellIs" dxfId="701" priority="7172" stopIfTrue="1" operator="lessThan">
      <formula>1</formula>
    </cfRule>
  </conditionalFormatting>
  <conditionalFormatting sqref="M21:M24">
    <cfRule type="cellIs" dxfId="700" priority="7171" stopIfTrue="1" operator="lessThan">
      <formula>1</formula>
    </cfRule>
  </conditionalFormatting>
  <conditionalFormatting sqref="K21:K24">
    <cfRule type="cellIs" dxfId="699" priority="7176" stopIfTrue="1" operator="greaterThan">
      <formula>#REF!</formula>
    </cfRule>
    <cfRule type="cellIs" dxfId="698" priority="7177" stopIfTrue="1" operator="lessThanOrEqual">
      <formula>#REF!</formula>
    </cfRule>
  </conditionalFormatting>
  <conditionalFormatting sqref="K31:K34 K36">
    <cfRule type="cellIs" dxfId="697" priority="7164" stopIfTrue="1" operator="greaterThan">
      <formula>#REF!</formula>
    </cfRule>
    <cfRule type="cellIs" dxfId="696" priority="7165" stopIfTrue="1" operator="lessThanOrEqual">
      <formula>#REF!</formula>
    </cfRule>
  </conditionalFormatting>
  <conditionalFormatting sqref="K41:K44">
    <cfRule type="cellIs" dxfId="695" priority="7157" stopIfTrue="1" operator="greaterThan">
      <formula>#REF!</formula>
    </cfRule>
    <cfRule type="cellIs" dxfId="694" priority="7158" stopIfTrue="1" operator="lessThanOrEqual">
      <formula>#REF!</formula>
    </cfRule>
  </conditionalFormatting>
  <conditionalFormatting sqref="K51:K54">
    <cfRule type="cellIs" dxfId="693" priority="7150" stopIfTrue="1" operator="greaterThan">
      <formula>#REF!</formula>
    </cfRule>
    <cfRule type="cellIs" dxfId="692" priority="7151" stopIfTrue="1" operator="lessThanOrEqual">
      <formula>#REF!</formula>
    </cfRule>
  </conditionalFormatting>
  <conditionalFormatting sqref="M91:M94">
    <cfRule type="cellIs" dxfId="691" priority="7142" stopIfTrue="1" operator="lessThan">
      <formula>1</formula>
    </cfRule>
  </conditionalFormatting>
  <conditionalFormatting sqref="M91:M94">
    <cfRule type="cellIs" dxfId="690" priority="7141" stopIfTrue="1" operator="lessThan">
      <formula>1</formula>
    </cfRule>
  </conditionalFormatting>
  <conditionalFormatting sqref="M91:M94">
    <cfRule type="cellIs" dxfId="689" priority="7140" stopIfTrue="1" operator="lessThan">
      <formula>1</formula>
    </cfRule>
  </conditionalFormatting>
  <conditionalFormatting sqref="M91:M94">
    <cfRule type="cellIs" dxfId="688" priority="7139" stopIfTrue="1" operator="lessThan">
      <formula>1</formula>
    </cfRule>
  </conditionalFormatting>
  <conditionalFormatting sqref="M91:M94">
    <cfRule type="cellIs" dxfId="687" priority="7138" stopIfTrue="1" operator="lessThan">
      <formula>1</formula>
    </cfRule>
  </conditionalFormatting>
  <conditionalFormatting sqref="K91:K94">
    <cfRule type="cellIs" dxfId="686" priority="7143" stopIfTrue="1" operator="greaterThan">
      <formula>#REF!</formula>
    </cfRule>
    <cfRule type="cellIs" dxfId="685" priority="7144" stopIfTrue="1" operator="lessThanOrEqual">
      <formula>#REF!</formula>
    </cfRule>
  </conditionalFormatting>
  <conditionalFormatting sqref="M26">
    <cfRule type="cellIs" dxfId="684" priority="7130" stopIfTrue="1" operator="lessThan">
      <formula>1</formula>
    </cfRule>
  </conditionalFormatting>
  <conditionalFormatting sqref="M26">
    <cfRule type="cellIs" dxfId="683" priority="7129" stopIfTrue="1" operator="lessThan">
      <formula>1</formula>
    </cfRule>
  </conditionalFormatting>
  <conditionalFormatting sqref="M26">
    <cfRule type="cellIs" dxfId="682" priority="7128" stopIfTrue="1" operator="lessThan">
      <formula>1</formula>
    </cfRule>
  </conditionalFormatting>
  <conditionalFormatting sqref="M26">
    <cfRule type="cellIs" dxfId="681" priority="7127" stopIfTrue="1" operator="lessThan">
      <formula>1</formula>
    </cfRule>
  </conditionalFormatting>
  <conditionalFormatting sqref="M26">
    <cfRule type="cellIs" dxfId="680" priority="7126" stopIfTrue="1" operator="lessThan">
      <formula>1</formula>
    </cfRule>
  </conditionalFormatting>
  <conditionalFormatting sqref="K26">
    <cfRule type="cellIs" dxfId="679" priority="7131" stopIfTrue="1" operator="greaterThan">
      <formula>#REF!</formula>
    </cfRule>
    <cfRule type="cellIs" dxfId="678" priority="7132" stopIfTrue="1" operator="lessThanOrEqual">
      <formula>#REF!</formula>
    </cfRule>
  </conditionalFormatting>
  <conditionalFormatting sqref="K56">
    <cfRule type="cellIs" dxfId="677" priority="7112" stopIfTrue="1" operator="greaterThan">
      <formula>#REF!</formula>
    </cfRule>
    <cfRule type="cellIs" dxfId="676" priority="7113" stopIfTrue="1" operator="lessThanOrEqual">
      <formula>#REF!</formula>
    </cfRule>
  </conditionalFormatting>
  <conditionalFormatting sqref="K46">
    <cfRule type="cellIs" dxfId="675" priority="7119" stopIfTrue="1" operator="greaterThan">
      <formula>#REF!</formula>
    </cfRule>
    <cfRule type="cellIs" dxfId="674" priority="7120" stopIfTrue="1" operator="lessThanOrEqual">
      <formula>#REF!</formula>
    </cfRule>
  </conditionalFormatting>
  <conditionalFormatting sqref="K66">
    <cfRule type="cellIs" dxfId="673" priority="7105" stopIfTrue="1" operator="greaterThan">
      <formula>#REF!</formula>
    </cfRule>
    <cfRule type="cellIs" dxfId="672" priority="7106" stopIfTrue="1" operator="lessThanOrEqual">
      <formula>#REF!</formula>
    </cfRule>
  </conditionalFormatting>
  <conditionalFormatting sqref="M76">
    <cfRule type="cellIs" dxfId="671" priority="7097" stopIfTrue="1" operator="lessThan">
      <formula>1</formula>
    </cfRule>
  </conditionalFormatting>
  <conditionalFormatting sqref="M76">
    <cfRule type="cellIs" dxfId="670" priority="7096" stopIfTrue="1" operator="lessThan">
      <formula>1</formula>
    </cfRule>
  </conditionalFormatting>
  <conditionalFormatting sqref="M76">
    <cfRule type="cellIs" dxfId="669" priority="7095" stopIfTrue="1" operator="lessThan">
      <formula>1</formula>
    </cfRule>
  </conditionalFormatting>
  <conditionalFormatting sqref="M76">
    <cfRule type="cellIs" dxfId="668" priority="7094" stopIfTrue="1" operator="lessThan">
      <formula>1</formula>
    </cfRule>
  </conditionalFormatting>
  <conditionalFormatting sqref="M76">
    <cfRule type="cellIs" dxfId="667" priority="7093" stopIfTrue="1" operator="lessThan">
      <formula>1</formula>
    </cfRule>
  </conditionalFormatting>
  <conditionalFormatting sqref="K76">
    <cfRule type="cellIs" dxfId="666" priority="7098" stopIfTrue="1" operator="greaterThan">
      <formula>#REF!</formula>
    </cfRule>
    <cfRule type="cellIs" dxfId="665" priority="7099" stopIfTrue="1" operator="lessThanOrEqual">
      <formula>#REF!</formula>
    </cfRule>
  </conditionalFormatting>
  <conditionalFormatting sqref="M86">
    <cfRule type="cellIs" dxfId="664" priority="7090" stopIfTrue="1" operator="lessThan">
      <formula>1</formula>
    </cfRule>
  </conditionalFormatting>
  <conditionalFormatting sqref="M86">
    <cfRule type="cellIs" dxfId="663" priority="7089" stopIfTrue="1" operator="lessThan">
      <formula>1</formula>
    </cfRule>
  </conditionalFormatting>
  <conditionalFormatting sqref="M86">
    <cfRule type="cellIs" dxfId="662" priority="7088" stopIfTrue="1" operator="lessThan">
      <formula>1</formula>
    </cfRule>
  </conditionalFormatting>
  <conditionalFormatting sqref="M86">
    <cfRule type="cellIs" dxfId="661" priority="7087" stopIfTrue="1" operator="lessThan">
      <formula>1</formula>
    </cfRule>
  </conditionalFormatting>
  <conditionalFormatting sqref="M86">
    <cfRule type="cellIs" dxfId="660" priority="7086" stopIfTrue="1" operator="lessThan">
      <formula>1</formula>
    </cfRule>
  </conditionalFormatting>
  <conditionalFormatting sqref="K86">
    <cfRule type="cellIs" dxfId="659" priority="7091" stopIfTrue="1" operator="greaterThan">
      <formula>#REF!</formula>
    </cfRule>
    <cfRule type="cellIs" dxfId="658" priority="7092" stopIfTrue="1" operator="lessThanOrEqual">
      <formula>#REF!</formula>
    </cfRule>
  </conditionalFormatting>
  <conditionalFormatting sqref="M96">
    <cfRule type="cellIs" dxfId="657" priority="7083" stopIfTrue="1" operator="lessThan">
      <formula>1</formula>
    </cfRule>
  </conditionalFormatting>
  <conditionalFormatting sqref="M96">
    <cfRule type="cellIs" dxfId="656" priority="7082" stopIfTrue="1" operator="lessThan">
      <formula>1</formula>
    </cfRule>
  </conditionalFormatting>
  <conditionalFormatting sqref="M96">
    <cfRule type="cellIs" dxfId="655" priority="7081" stopIfTrue="1" operator="lessThan">
      <formula>1</formula>
    </cfRule>
  </conditionalFormatting>
  <conditionalFormatting sqref="M96">
    <cfRule type="cellIs" dxfId="654" priority="7080" stopIfTrue="1" operator="lessThan">
      <formula>1</formula>
    </cfRule>
  </conditionalFormatting>
  <conditionalFormatting sqref="M96">
    <cfRule type="cellIs" dxfId="653" priority="7079" stopIfTrue="1" operator="lessThan">
      <formula>1</formula>
    </cfRule>
  </conditionalFormatting>
  <conditionalFormatting sqref="K96">
    <cfRule type="cellIs" dxfId="652" priority="7084" stopIfTrue="1" operator="greaterThan">
      <formula>#REF!</formula>
    </cfRule>
    <cfRule type="cellIs" dxfId="651" priority="7085" stopIfTrue="1" operator="lessThanOrEqual">
      <formula>#REF!</formula>
    </cfRule>
  </conditionalFormatting>
  <conditionalFormatting sqref="K106">
    <cfRule type="cellIs" dxfId="650" priority="7077" stopIfTrue="1" operator="greaterThan">
      <formula>#REF!</formula>
    </cfRule>
    <cfRule type="cellIs" dxfId="649" priority="7078" stopIfTrue="1" operator="lessThanOrEqual">
      <formula>#REF!</formula>
    </cfRule>
  </conditionalFormatting>
  <conditionalFormatting sqref="K116">
    <cfRule type="cellIs" dxfId="648" priority="7070" stopIfTrue="1" operator="greaterThan">
      <formula>#REF!</formula>
    </cfRule>
    <cfRule type="cellIs" dxfId="647" priority="7071" stopIfTrue="1" operator="lessThanOrEqual">
      <formula>#REF!</formula>
    </cfRule>
  </conditionalFormatting>
  <conditionalFormatting sqref="K126">
    <cfRule type="cellIs" dxfId="646" priority="7063" stopIfTrue="1" operator="greaterThan">
      <formula>#REF!</formula>
    </cfRule>
    <cfRule type="cellIs" dxfId="645" priority="7064" stopIfTrue="1" operator="lessThanOrEqual">
      <formula>#REF!</formula>
    </cfRule>
  </conditionalFormatting>
  <conditionalFormatting sqref="M136">
    <cfRule type="cellIs" dxfId="644" priority="7055" stopIfTrue="1" operator="lessThan">
      <formula>1</formula>
    </cfRule>
  </conditionalFormatting>
  <conditionalFormatting sqref="M136">
    <cfRule type="cellIs" dxfId="643" priority="7054" stopIfTrue="1" operator="lessThan">
      <formula>1</formula>
    </cfRule>
  </conditionalFormatting>
  <conditionalFormatting sqref="M136">
    <cfRule type="cellIs" dxfId="642" priority="7053" stopIfTrue="1" operator="lessThan">
      <formula>1</formula>
    </cfRule>
  </conditionalFormatting>
  <conditionalFormatting sqref="M136">
    <cfRule type="cellIs" dxfId="641" priority="7052" stopIfTrue="1" operator="lessThan">
      <formula>1</formula>
    </cfRule>
  </conditionalFormatting>
  <conditionalFormatting sqref="M136">
    <cfRule type="cellIs" dxfId="640" priority="7051" stopIfTrue="1" operator="lessThan">
      <formula>1</formula>
    </cfRule>
  </conditionalFormatting>
  <conditionalFormatting sqref="K136">
    <cfRule type="cellIs" dxfId="639" priority="7056" stopIfTrue="1" operator="greaterThan">
      <formula>#REF!</formula>
    </cfRule>
    <cfRule type="cellIs" dxfId="638" priority="7057" stopIfTrue="1" operator="lessThanOrEqual">
      <formula>#REF!</formula>
    </cfRule>
  </conditionalFormatting>
  <conditionalFormatting sqref="M146">
    <cfRule type="cellIs" dxfId="637" priority="7048" stopIfTrue="1" operator="lessThan">
      <formula>1</formula>
    </cfRule>
  </conditionalFormatting>
  <conditionalFormatting sqref="M146">
    <cfRule type="cellIs" dxfId="636" priority="7047" stopIfTrue="1" operator="lessThan">
      <formula>1</formula>
    </cfRule>
  </conditionalFormatting>
  <conditionalFormatting sqref="M146">
    <cfRule type="cellIs" dxfId="635" priority="7046" stopIfTrue="1" operator="lessThan">
      <formula>1</formula>
    </cfRule>
  </conditionalFormatting>
  <conditionalFormatting sqref="M146">
    <cfRule type="cellIs" dxfId="634" priority="7045" stopIfTrue="1" operator="lessThan">
      <formula>1</formula>
    </cfRule>
  </conditionalFormatting>
  <conditionalFormatting sqref="M146">
    <cfRule type="cellIs" dxfId="633" priority="7044" stopIfTrue="1" operator="lessThan">
      <formula>1</formula>
    </cfRule>
  </conditionalFormatting>
  <conditionalFormatting sqref="K146">
    <cfRule type="cellIs" dxfId="632" priority="7049" stopIfTrue="1" operator="greaterThan">
      <formula>#REF!</formula>
    </cfRule>
    <cfRule type="cellIs" dxfId="631" priority="7050" stopIfTrue="1" operator="lessThanOrEqual">
      <formula>#REF!</formula>
    </cfRule>
  </conditionalFormatting>
  <conditionalFormatting sqref="M151:M156">
    <cfRule type="cellIs" dxfId="630" priority="7043" stopIfTrue="1" operator="lessThan">
      <formula>1</formula>
    </cfRule>
  </conditionalFormatting>
  <conditionalFormatting sqref="M151:M156">
    <cfRule type="cellIs" dxfId="629" priority="7042" stopIfTrue="1" operator="lessThan">
      <formula>1</formula>
    </cfRule>
  </conditionalFormatting>
  <conditionalFormatting sqref="M151:M156">
    <cfRule type="cellIs" dxfId="628" priority="7041" stopIfTrue="1" operator="lessThan">
      <formula>1</formula>
    </cfRule>
  </conditionalFormatting>
  <conditionalFormatting sqref="M151:M156">
    <cfRule type="cellIs" dxfId="627" priority="7040" stopIfTrue="1" operator="lessThan">
      <formula>1</formula>
    </cfRule>
  </conditionalFormatting>
  <conditionalFormatting sqref="M151:M156">
    <cfRule type="cellIs" dxfId="626" priority="7039" stopIfTrue="1" operator="lessThan">
      <formula>1</formula>
    </cfRule>
  </conditionalFormatting>
  <conditionalFormatting sqref="M161:M166">
    <cfRule type="cellIs" dxfId="625" priority="7038" stopIfTrue="1" operator="lessThan">
      <formula>1</formula>
    </cfRule>
  </conditionalFormatting>
  <conditionalFormatting sqref="M161:M166">
    <cfRule type="cellIs" dxfId="624" priority="7037" stopIfTrue="1" operator="lessThan">
      <formula>1</formula>
    </cfRule>
  </conditionalFormatting>
  <conditionalFormatting sqref="M161:M166">
    <cfRule type="cellIs" dxfId="623" priority="7036" stopIfTrue="1" operator="lessThan">
      <formula>1</formula>
    </cfRule>
  </conditionalFormatting>
  <conditionalFormatting sqref="M161:M166">
    <cfRule type="cellIs" dxfId="622" priority="7035" stopIfTrue="1" operator="lessThan">
      <formula>1</formula>
    </cfRule>
  </conditionalFormatting>
  <conditionalFormatting sqref="M161:M166">
    <cfRule type="cellIs" dxfId="621" priority="7034" stopIfTrue="1" operator="lessThan">
      <formula>1</formula>
    </cfRule>
  </conditionalFormatting>
  <conditionalFormatting sqref="K25">
    <cfRule type="cellIs" dxfId="620" priority="7027" stopIfTrue="1" operator="greaterThan">
      <formula>#REF!</formula>
    </cfRule>
    <cfRule type="cellIs" dxfId="619" priority="7028" stopIfTrue="1" operator="lessThanOrEqual">
      <formula>#REF!</formula>
    </cfRule>
  </conditionalFormatting>
  <conditionalFormatting sqref="K35">
    <cfRule type="cellIs" dxfId="618" priority="6993" stopIfTrue="1" operator="greaterThan">
      <formula>#REF!</formula>
    </cfRule>
    <cfRule type="cellIs" dxfId="617" priority="6994" stopIfTrue="1" operator="lessThanOrEqual">
      <formula>#REF!</formula>
    </cfRule>
  </conditionalFormatting>
  <conditionalFormatting sqref="K45">
    <cfRule type="cellIs" dxfId="616" priority="6991" stopIfTrue="1" operator="greaterThan">
      <formula>#REF!</formula>
    </cfRule>
    <cfRule type="cellIs" dxfId="615" priority="6992" stopIfTrue="1" operator="lessThanOrEqual">
      <formula>#REF!</formula>
    </cfRule>
  </conditionalFormatting>
  <conditionalFormatting sqref="K55">
    <cfRule type="cellIs" dxfId="614" priority="6989" stopIfTrue="1" operator="greaterThan">
      <formula>#REF!</formula>
    </cfRule>
    <cfRule type="cellIs" dxfId="613" priority="6990" stopIfTrue="1" operator="lessThanOrEqual">
      <formula>#REF!</formula>
    </cfRule>
  </conditionalFormatting>
  <conditionalFormatting sqref="K65">
    <cfRule type="cellIs" dxfId="612" priority="6987" stopIfTrue="1" operator="greaterThan">
      <formula>#REF!</formula>
    </cfRule>
    <cfRule type="cellIs" dxfId="611" priority="6988" stopIfTrue="1" operator="lessThanOrEqual">
      <formula>#REF!</formula>
    </cfRule>
  </conditionalFormatting>
  <conditionalFormatting sqref="K75">
    <cfRule type="cellIs" dxfId="610" priority="6980" stopIfTrue="1" operator="greaterThan">
      <formula>#REF!</formula>
    </cfRule>
    <cfRule type="cellIs" dxfId="609" priority="6981" stopIfTrue="1" operator="lessThanOrEqual">
      <formula>#REF!</formula>
    </cfRule>
  </conditionalFormatting>
  <conditionalFormatting sqref="M75">
    <cfRule type="cellIs" dxfId="608" priority="6975" stopIfTrue="1" operator="lessThan">
      <formula>1</formula>
    </cfRule>
  </conditionalFormatting>
  <conditionalFormatting sqref="M75">
    <cfRule type="cellIs" dxfId="607" priority="6979" stopIfTrue="1" operator="lessThan">
      <formula>1</formula>
    </cfRule>
  </conditionalFormatting>
  <conditionalFormatting sqref="M75">
    <cfRule type="cellIs" dxfId="606" priority="6978" stopIfTrue="1" operator="lessThan">
      <formula>1</formula>
    </cfRule>
  </conditionalFormatting>
  <conditionalFormatting sqref="M75">
    <cfRule type="cellIs" dxfId="605" priority="6977" stopIfTrue="1" operator="lessThan">
      <formula>1</formula>
    </cfRule>
  </conditionalFormatting>
  <conditionalFormatting sqref="M75">
    <cfRule type="cellIs" dxfId="604" priority="6976" stopIfTrue="1" operator="lessThan">
      <formula>1</formula>
    </cfRule>
  </conditionalFormatting>
  <conditionalFormatting sqref="M85">
    <cfRule type="cellIs" dxfId="603" priority="6970" stopIfTrue="1" operator="lessThan">
      <formula>1</formula>
    </cfRule>
  </conditionalFormatting>
  <conditionalFormatting sqref="M85">
    <cfRule type="cellIs" dxfId="602" priority="6974" stopIfTrue="1" operator="lessThan">
      <formula>1</formula>
    </cfRule>
  </conditionalFormatting>
  <conditionalFormatting sqref="M85">
    <cfRule type="cellIs" dxfId="601" priority="6973" stopIfTrue="1" operator="lessThan">
      <formula>1</formula>
    </cfRule>
  </conditionalFormatting>
  <conditionalFormatting sqref="M85">
    <cfRule type="cellIs" dxfId="600" priority="6972" stopIfTrue="1" operator="lessThan">
      <formula>1</formula>
    </cfRule>
  </conditionalFormatting>
  <conditionalFormatting sqref="M85">
    <cfRule type="cellIs" dxfId="599" priority="6971" stopIfTrue="1" operator="lessThan">
      <formula>1</formula>
    </cfRule>
  </conditionalFormatting>
  <conditionalFormatting sqref="K85">
    <cfRule type="cellIs" dxfId="598" priority="6968" stopIfTrue="1" operator="greaterThan">
      <formula>#REF!</formula>
    </cfRule>
    <cfRule type="cellIs" dxfId="597" priority="6969" stopIfTrue="1" operator="lessThanOrEqual">
      <formula>#REF!</formula>
    </cfRule>
  </conditionalFormatting>
  <conditionalFormatting sqref="M95">
    <cfRule type="cellIs" dxfId="596" priority="6963" stopIfTrue="1" operator="lessThan">
      <formula>1</formula>
    </cfRule>
  </conditionalFormatting>
  <conditionalFormatting sqref="M95">
    <cfRule type="cellIs" dxfId="595" priority="6967" stopIfTrue="1" operator="lessThan">
      <formula>1</formula>
    </cfRule>
  </conditionalFormatting>
  <conditionalFormatting sqref="M95">
    <cfRule type="cellIs" dxfId="594" priority="6966" stopIfTrue="1" operator="lessThan">
      <formula>1</formula>
    </cfRule>
  </conditionalFormatting>
  <conditionalFormatting sqref="M95">
    <cfRule type="cellIs" dxfId="593" priority="6965" stopIfTrue="1" operator="lessThan">
      <formula>1</formula>
    </cfRule>
  </conditionalFormatting>
  <conditionalFormatting sqref="M95">
    <cfRule type="cellIs" dxfId="592" priority="6964" stopIfTrue="1" operator="lessThan">
      <formula>1</formula>
    </cfRule>
  </conditionalFormatting>
  <conditionalFormatting sqref="K95">
    <cfRule type="cellIs" dxfId="591" priority="6961" stopIfTrue="1" operator="greaterThan">
      <formula>#REF!</formula>
    </cfRule>
    <cfRule type="cellIs" dxfId="590" priority="6962" stopIfTrue="1" operator="lessThanOrEqual">
      <formula>#REF!</formula>
    </cfRule>
  </conditionalFormatting>
  <conditionalFormatting sqref="K105">
    <cfRule type="cellIs" dxfId="589" priority="6959" stopIfTrue="1" operator="greaterThan">
      <formula>#REF!</formula>
    </cfRule>
    <cfRule type="cellIs" dxfId="588" priority="6960" stopIfTrue="1" operator="lessThanOrEqual">
      <formula>#REF!</formula>
    </cfRule>
  </conditionalFormatting>
  <conditionalFormatting sqref="K115">
    <cfRule type="cellIs" dxfId="587" priority="6952" stopIfTrue="1" operator="greaterThan">
      <formula>#REF!</formula>
    </cfRule>
    <cfRule type="cellIs" dxfId="586" priority="6953" stopIfTrue="1" operator="lessThanOrEqual">
      <formula>#REF!</formula>
    </cfRule>
  </conditionalFormatting>
  <conditionalFormatting sqref="M125">
    <cfRule type="cellIs" dxfId="585" priority="6942" stopIfTrue="1" operator="lessThan">
      <formula>1</formula>
    </cfRule>
  </conditionalFormatting>
  <conditionalFormatting sqref="M125">
    <cfRule type="cellIs" dxfId="584" priority="6946" stopIfTrue="1" operator="lessThan">
      <formula>1</formula>
    </cfRule>
  </conditionalFormatting>
  <conditionalFormatting sqref="M125">
    <cfRule type="cellIs" dxfId="583" priority="6945" stopIfTrue="1" operator="lessThan">
      <formula>1</formula>
    </cfRule>
  </conditionalFormatting>
  <conditionalFormatting sqref="M125">
    <cfRule type="cellIs" dxfId="582" priority="6944" stopIfTrue="1" operator="lessThan">
      <formula>1</formula>
    </cfRule>
  </conditionalFormatting>
  <conditionalFormatting sqref="M125">
    <cfRule type="cellIs" dxfId="581" priority="6943" stopIfTrue="1" operator="lessThan">
      <formula>1</formula>
    </cfRule>
  </conditionalFormatting>
  <conditionalFormatting sqref="K125">
    <cfRule type="cellIs" dxfId="580" priority="6940" stopIfTrue="1" operator="greaterThan">
      <formula>#REF!</formula>
    </cfRule>
    <cfRule type="cellIs" dxfId="579" priority="6941" stopIfTrue="1" operator="lessThanOrEqual">
      <formula>#REF!</formula>
    </cfRule>
  </conditionalFormatting>
  <conditionalFormatting sqref="K135">
    <cfRule type="cellIs" dxfId="578" priority="6938" stopIfTrue="1" operator="greaterThan">
      <formula>#REF!</formula>
    </cfRule>
    <cfRule type="cellIs" dxfId="577" priority="6939" stopIfTrue="1" operator="lessThanOrEqual">
      <formula>#REF!</formula>
    </cfRule>
  </conditionalFormatting>
  <conditionalFormatting sqref="M135">
    <cfRule type="cellIs" dxfId="576" priority="6933" stopIfTrue="1" operator="lessThan">
      <formula>1</formula>
    </cfRule>
  </conditionalFormatting>
  <conditionalFormatting sqref="M135">
    <cfRule type="cellIs" dxfId="575" priority="6937" stopIfTrue="1" operator="lessThan">
      <formula>1</formula>
    </cfRule>
  </conditionalFormatting>
  <conditionalFormatting sqref="M135">
    <cfRule type="cellIs" dxfId="574" priority="6936" stopIfTrue="1" operator="lessThan">
      <formula>1</formula>
    </cfRule>
  </conditionalFormatting>
  <conditionalFormatting sqref="M135">
    <cfRule type="cellIs" dxfId="573" priority="6935" stopIfTrue="1" operator="lessThan">
      <formula>1</formula>
    </cfRule>
  </conditionalFormatting>
  <conditionalFormatting sqref="M135">
    <cfRule type="cellIs" dxfId="572" priority="6934" stopIfTrue="1" operator="lessThan">
      <formula>1</formula>
    </cfRule>
  </conditionalFormatting>
  <conditionalFormatting sqref="K145">
    <cfRule type="cellIs" dxfId="571" priority="6931" stopIfTrue="1" operator="greaterThan">
      <formula>#REF!</formula>
    </cfRule>
    <cfRule type="cellIs" dxfId="570" priority="6932" stopIfTrue="1" operator="lessThanOrEqual">
      <formula>#REF!</formula>
    </cfRule>
  </conditionalFormatting>
  <conditionalFormatting sqref="M145">
    <cfRule type="cellIs" dxfId="569" priority="6926" stopIfTrue="1" operator="lessThan">
      <formula>1</formula>
    </cfRule>
  </conditionalFormatting>
  <conditionalFormatting sqref="M145">
    <cfRule type="cellIs" dxfId="568" priority="6930" stopIfTrue="1" operator="lessThan">
      <formula>1</formula>
    </cfRule>
  </conditionalFormatting>
  <conditionalFormatting sqref="M145">
    <cfRule type="cellIs" dxfId="567" priority="6929" stopIfTrue="1" operator="lessThan">
      <formula>1</formula>
    </cfRule>
  </conditionalFormatting>
  <conditionalFormatting sqref="M145">
    <cfRule type="cellIs" dxfId="566" priority="6928" stopIfTrue="1" operator="lessThan">
      <formula>1</formula>
    </cfRule>
  </conditionalFormatting>
  <conditionalFormatting sqref="M145">
    <cfRule type="cellIs" dxfId="565" priority="6927" stopIfTrue="1" operator="lessThan">
      <formula>1</formula>
    </cfRule>
  </conditionalFormatting>
  <conditionalFormatting sqref="L166">
    <cfRule type="cellIs" dxfId="564" priority="6905" operator="lessThan">
      <formula>0.75</formula>
    </cfRule>
    <cfRule type="cellIs" dxfId="563" priority="6906" operator="greaterThan">
      <formula>0.75</formula>
    </cfRule>
  </conditionalFormatting>
  <conditionalFormatting sqref="L63">
    <cfRule type="cellIs" dxfId="562" priority="6878" operator="lessThan">
      <formula>0.2</formula>
    </cfRule>
    <cfRule type="cellIs" dxfId="561" priority="6885" operator="greaterThan">
      <formula>0.2</formula>
    </cfRule>
  </conditionalFormatting>
  <conditionalFormatting sqref="L64">
    <cfRule type="cellIs" dxfId="560" priority="6879" operator="lessThan">
      <formula>0.3</formula>
    </cfRule>
    <cfRule type="cellIs" dxfId="559" priority="6884" operator="greaterThan">
      <formula>0.3</formula>
    </cfRule>
  </conditionalFormatting>
  <conditionalFormatting sqref="L75">
    <cfRule type="cellIs" dxfId="558" priority="6873" operator="lessThan">
      <formula>0.5</formula>
    </cfRule>
    <cfRule type="cellIs" dxfId="557" priority="6874" operator="greaterThan">
      <formula>0.5</formula>
    </cfRule>
  </conditionalFormatting>
  <conditionalFormatting sqref="L84">
    <cfRule type="cellIs" dxfId="556" priority="6864" operator="lessThan">
      <formula>0.3</formula>
    </cfRule>
    <cfRule type="cellIs" dxfId="555" priority="6869" operator="greaterThan">
      <formula>0.3</formula>
    </cfRule>
  </conditionalFormatting>
  <conditionalFormatting sqref="L85">
    <cfRule type="cellIs" dxfId="554" priority="6865" operator="lessThan">
      <formula>0.5</formula>
    </cfRule>
    <cfRule type="cellIs" dxfId="553" priority="6868" operator="greaterThan">
      <formula>0.5</formula>
    </cfRule>
  </conditionalFormatting>
  <conditionalFormatting sqref="L86">
    <cfRule type="cellIs" dxfId="552" priority="6866" operator="lessThan">
      <formula>0.75</formula>
    </cfRule>
    <cfRule type="cellIs" dxfId="551" priority="6867" operator="greaterThan">
      <formula>0.75</formula>
    </cfRule>
  </conditionalFormatting>
  <conditionalFormatting sqref="L133:L135">
    <cfRule type="cellIs" dxfId="550" priority="6686" stopIfTrue="1" operator="lessThan">
      <formula>1</formula>
    </cfRule>
  </conditionalFormatting>
  <conditionalFormatting sqref="L133:L135">
    <cfRule type="cellIs" dxfId="549" priority="6685" stopIfTrue="1" operator="lessThan">
      <formula>1</formula>
    </cfRule>
  </conditionalFormatting>
  <conditionalFormatting sqref="L133:L135">
    <cfRule type="cellIs" dxfId="548" priority="6682" stopIfTrue="1" operator="lessThan">
      <formula>1</formula>
    </cfRule>
  </conditionalFormatting>
  <conditionalFormatting sqref="L133:L135">
    <cfRule type="cellIs" dxfId="547" priority="6684" stopIfTrue="1" operator="lessThan">
      <formula>1</formula>
    </cfRule>
  </conditionalFormatting>
  <conditionalFormatting sqref="L133:L135">
    <cfRule type="cellIs" dxfId="546" priority="6683" stopIfTrue="1" operator="lessThan">
      <formula>1</formula>
    </cfRule>
  </conditionalFormatting>
  <conditionalFormatting sqref="L133:L135">
    <cfRule type="cellIs" dxfId="545" priority="6681" stopIfTrue="1" operator="lessThan">
      <formula>1</formula>
    </cfRule>
  </conditionalFormatting>
  <conditionalFormatting sqref="L133:L135">
    <cfRule type="cellIs" dxfId="544" priority="6680" stopIfTrue="1" operator="lessThan">
      <formula>1</formula>
    </cfRule>
  </conditionalFormatting>
  <conditionalFormatting sqref="L133:L135">
    <cfRule type="cellIs" dxfId="543" priority="6677" stopIfTrue="1" operator="lessThan">
      <formula>1</formula>
    </cfRule>
  </conditionalFormatting>
  <conditionalFormatting sqref="L133:L135">
    <cfRule type="cellIs" dxfId="542" priority="6679" stopIfTrue="1" operator="lessThan">
      <formula>1</formula>
    </cfRule>
  </conditionalFormatting>
  <conditionalFormatting sqref="L133:L135">
    <cfRule type="cellIs" dxfId="541" priority="6678" stopIfTrue="1" operator="lessThan">
      <formula>1</formula>
    </cfRule>
  </conditionalFormatting>
  <conditionalFormatting sqref="L76">
    <cfRule type="cellIs" dxfId="540" priority="6663" operator="lessThan">
      <formula>0.75</formula>
    </cfRule>
    <cfRule type="cellIs" dxfId="539" priority="6664" operator="greaterThan">
      <formula>0.75</formula>
    </cfRule>
  </conditionalFormatting>
  <conditionalFormatting sqref="L93">
    <cfRule type="cellIs" dxfId="538" priority="6661" operator="lessThan">
      <formula>0.2</formula>
    </cfRule>
    <cfRule type="cellIs" dxfId="537" priority="6662" operator="greaterThan">
      <formula>0.2</formula>
    </cfRule>
  </conditionalFormatting>
  <conditionalFormatting sqref="L94">
    <cfRule type="cellIs" dxfId="536" priority="6659" operator="lessThan">
      <formula>0.5</formula>
    </cfRule>
    <cfRule type="cellIs" dxfId="535" priority="6660" operator="greaterThan">
      <formula>0.5</formula>
    </cfRule>
  </conditionalFormatting>
  <conditionalFormatting sqref="L106">
    <cfRule type="cellIs" dxfId="534" priority="6653" operator="lessThan">
      <formula>0.75</formula>
    </cfRule>
    <cfRule type="cellIs" dxfId="533" priority="6654" operator="greaterThan">
      <formula>0.75</formula>
    </cfRule>
  </conditionalFormatting>
  <conditionalFormatting sqref="L122">
    <cfRule type="cellIs" dxfId="532" priority="6649" operator="lessThan">
      <formula>0.1</formula>
    </cfRule>
    <cfRule type="cellIs" dxfId="531" priority="6650" operator="greaterThan">
      <formula>0.1</formula>
    </cfRule>
  </conditionalFormatting>
  <conditionalFormatting sqref="L123">
    <cfRule type="cellIs" dxfId="530" priority="6647" operator="lessThan">
      <formula>0.2</formula>
    </cfRule>
    <cfRule type="cellIs" dxfId="529" priority="6648" operator="greaterThan">
      <formula>0.2</formula>
    </cfRule>
  </conditionalFormatting>
  <conditionalFormatting sqref="L125">
    <cfRule type="cellIs" dxfId="528" priority="6645" operator="lessThan">
      <formula>0.5</formula>
    </cfRule>
    <cfRule type="cellIs" dxfId="527" priority="6646" operator="greaterThan">
      <formula>0.5</formula>
    </cfRule>
  </conditionalFormatting>
  <conditionalFormatting sqref="L126">
    <cfRule type="cellIs" dxfId="526" priority="6643" operator="lessThan">
      <formula>0.75</formula>
    </cfRule>
    <cfRule type="cellIs" dxfId="525" priority="6644" operator="greaterThan">
      <formula>0.75</formula>
    </cfRule>
  </conditionalFormatting>
  <conditionalFormatting sqref="L133:L136">
    <cfRule type="cellIs" dxfId="524" priority="6635" operator="lessThan">
      <formula>0.75</formula>
    </cfRule>
    <cfRule type="cellIs" dxfId="523" priority="6636" operator="greaterThan">
      <formula>0.75</formula>
    </cfRule>
  </conditionalFormatting>
  <conditionalFormatting sqref="L95:L96">
    <cfRule type="cellIs" dxfId="522" priority="5724" operator="lessThan">
      <formula>0.5</formula>
    </cfRule>
    <cfRule type="cellIs" dxfId="521" priority="5725" operator="greaterThan">
      <formula>0.5</formula>
    </cfRule>
  </conditionalFormatting>
  <conditionalFormatting sqref="M170:M175">
    <cfRule type="cellIs" dxfId="520" priority="5657" stopIfTrue="1" operator="lessThan">
      <formula>1</formula>
    </cfRule>
  </conditionalFormatting>
  <conditionalFormatting sqref="M170:M175">
    <cfRule type="cellIs" dxfId="519" priority="5656" stopIfTrue="1" operator="lessThan">
      <formula>1</formula>
    </cfRule>
  </conditionalFormatting>
  <conditionalFormatting sqref="M170:M175">
    <cfRule type="cellIs" dxfId="518" priority="5655" stopIfTrue="1" operator="lessThan">
      <formula>1</formula>
    </cfRule>
  </conditionalFormatting>
  <conditionalFormatting sqref="M170:M175">
    <cfRule type="cellIs" dxfId="517" priority="5654" stopIfTrue="1" operator="lessThan">
      <formula>1</formula>
    </cfRule>
  </conditionalFormatting>
  <conditionalFormatting sqref="M170:M175">
    <cfRule type="cellIs" dxfId="516" priority="5653" stopIfTrue="1" operator="lessThan">
      <formula>1</formula>
    </cfRule>
  </conditionalFormatting>
  <conditionalFormatting sqref="L65">
    <cfRule type="cellIs" dxfId="515" priority="5141" operator="lessThan">
      <formula>0.3</formula>
    </cfRule>
    <cfRule type="cellIs" dxfId="514" priority="5142" operator="greaterThan">
      <formula>0.3</formula>
    </cfRule>
  </conditionalFormatting>
  <conditionalFormatting sqref="M179:M184">
    <cfRule type="cellIs" dxfId="513" priority="5088" stopIfTrue="1" operator="lessThan">
      <formula>1</formula>
    </cfRule>
  </conditionalFormatting>
  <conditionalFormatting sqref="M179:M184">
    <cfRule type="cellIs" dxfId="512" priority="5087" stopIfTrue="1" operator="lessThan">
      <formula>1</formula>
    </cfRule>
  </conditionalFormatting>
  <conditionalFormatting sqref="M179:M184">
    <cfRule type="cellIs" dxfId="511" priority="5086" stopIfTrue="1" operator="lessThan">
      <formula>1</formula>
    </cfRule>
  </conditionalFormatting>
  <conditionalFormatting sqref="M179:M184">
    <cfRule type="cellIs" dxfId="510" priority="5085" stopIfTrue="1" operator="lessThan">
      <formula>1</formula>
    </cfRule>
  </conditionalFormatting>
  <conditionalFormatting sqref="M179:M184">
    <cfRule type="cellIs" dxfId="509" priority="5084" stopIfTrue="1" operator="lessThan">
      <formula>1</formula>
    </cfRule>
  </conditionalFormatting>
  <conditionalFormatting sqref="M188:M193">
    <cfRule type="cellIs" dxfId="508" priority="5076" stopIfTrue="1" operator="lessThan">
      <formula>1</formula>
    </cfRule>
  </conditionalFormatting>
  <conditionalFormatting sqref="M188:M193">
    <cfRule type="cellIs" dxfId="507" priority="5075" stopIfTrue="1" operator="lessThan">
      <formula>1</formula>
    </cfRule>
  </conditionalFormatting>
  <conditionalFormatting sqref="M188:M193">
    <cfRule type="cellIs" dxfId="506" priority="5074" stopIfTrue="1" operator="lessThan">
      <formula>1</formula>
    </cfRule>
  </conditionalFormatting>
  <conditionalFormatting sqref="M188:M193">
    <cfRule type="cellIs" dxfId="505" priority="5073" stopIfTrue="1" operator="lessThan">
      <formula>1</formula>
    </cfRule>
  </conditionalFormatting>
  <conditionalFormatting sqref="M188:M193">
    <cfRule type="cellIs" dxfId="504" priority="5072" stopIfTrue="1" operator="lessThan">
      <formula>1</formula>
    </cfRule>
  </conditionalFormatting>
  <conditionalFormatting sqref="M197:M202">
    <cfRule type="cellIs" dxfId="503" priority="5064" stopIfTrue="1" operator="lessThan">
      <formula>1</formula>
    </cfRule>
  </conditionalFormatting>
  <conditionalFormatting sqref="M197:M202">
    <cfRule type="cellIs" dxfId="502" priority="5063" stopIfTrue="1" operator="lessThan">
      <formula>1</formula>
    </cfRule>
  </conditionalFormatting>
  <conditionalFormatting sqref="M197:M202">
    <cfRule type="cellIs" dxfId="501" priority="5062" stopIfTrue="1" operator="lessThan">
      <formula>1</formula>
    </cfRule>
  </conditionalFormatting>
  <conditionalFormatting sqref="M197:M202">
    <cfRule type="cellIs" dxfId="500" priority="5061" stopIfTrue="1" operator="lessThan">
      <formula>1</formula>
    </cfRule>
  </conditionalFormatting>
  <conditionalFormatting sqref="M197:M202">
    <cfRule type="cellIs" dxfId="499" priority="5060" stopIfTrue="1" operator="lessThan">
      <formula>1</formula>
    </cfRule>
  </conditionalFormatting>
  <conditionalFormatting sqref="M206:M211">
    <cfRule type="cellIs" dxfId="498" priority="5052" stopIfTrue="1" operator="lessThan">
      <formula>1</formula>
    </cfRule>
  </conditionalFormatting>
  <conditionalFormatting sqref="M206:M211">
    <cfRule type="cellIs" dxfId="497" priority="5051" stopIfTrue="1" operator="lessThan">
      <formula>1</formula>
    </cfRule>
  </conditionalFormatting>
  <conditionalFormatting sqref="M206:M211">
    <cfRule type="cellIs" dxfId="496" priority="5050" stopIfTrue="1" operator="lessThan">
      <formula>1</formula>
    </cfRule>
  </conditionalFormatting>
  <conditionalFormatting sqref="M206:M211">
    <cfRule type="cellIs" dxfId="495" priority="5049" stopIfTrue="1" operator="lessThan">
      <formula>1</formula>
    </cfRule>
  </conditionalFormatting>
  <conditionalFormatting sqref="M206:M211">
    <cfRule type="cellIs" dxfId="494" priority="5048" stopIfTrue="1" operator="lessThan">
      <formula>1</formula>
    </cfRule>
  </conditionalFormatting>
  <conditionalFormatting sqref="M215:M220">
    <cfRule type="cellIs" dxfId="493" priority="5040" stopIfTrue="1" operator="lessThan">
      <formula>1</formula>
    </cfRule>
  </conditionalFormatting>
  <conditionalFormatting sqref="M215:M220">
    <cfRule type="cellIs" dxfId="492" priority="5039" stopIfTrue="1" operator="lessThan">
      <formula>1</formula>
    </cfRule>
  </conditionalFormatting>
  <conditionalFormatting sqref="M215:M220">
    <cfRule type="cellIs" dxfId="491" priority="5038" stopIfTrue="1" operator="lessThan">
      <formula>1</formula>
    </cfRule>
  </conditionalFormatting>
  <conditionalFormatting sqref="M215:M220">
    <cfRule type="cellIs" dxfId="490" priority="5037" stopIfTrue="1" operator="lessThan">
      <formula>1</formula>
    </cfRule>
  </conditionalFormatting>
  <conditionalFormatting sqref="M215:M220">
    <cfRule type="cellIs" dxfId="489" priority="5036" stopIfTrue="1" operator="lessThan">
      <formula>1</formula>
    </cfRule>
  </conditionalFormatting>
  <conditionalFormatting sqref="M224:M229">
    <cfRule type="cellIs" dxfId="488" priority="5028" stopIfTrue="1" operator="lessThan">
      <formula>1</formula>
    </cfRule>
  </conditionalFormatting>
  <conditionalFormatting sqref="M224:M229">
    <cfRule type="cellIs" dxfId="487" priority="5027" stopIfTrue="1" operator="lessThan">
      <formula>1</formula>
    </cfRule>
  </conditionalFormatting>
  <conditionalFormatting sqref="M224:M229">
    <cfRule type="cellIs" dxfId="486" priority="5026" stopIfTrue="1" operator="lessThan">
      <formula>1</formula>
    </cfRule>
  </conditionalFormatting>
  <conditionalFormatting sqref="M224:M229">
    <cfRule type="cellIs" dxfId="485" priority="5025" stopIfTrue="1" operator="lessThan">
      <formula>1</formula>
    </cfRule>
  </conditionalFormatting>
  <conditionalFormatting sqref="M224:M229">
    <cfRule type="cellIs" dxfId="484" priority="5024" stopIfTrue="1" operator="lessThan">
      <formula>1</formula>
    </cfRule>
  </conditionalFormatting>
  <conditionalFormatting sqref="M233:M237">
    <cfRule type="cellIs" dxfId="483" priority="5016" stopIfTrue="1" operator="lessThan">
      <formula>1</formula>
    </cfRule>
  </conditionalFormatting>
  <conditionalFormatting sqref="M233:M237">
    <cfRule type="cellIs" dxfId="482" priority="5015" stopIfTrue="1" operator="lessThan">
      <formula>1</formula>
    </cfRule>
  </conditionalFormatting>
  <conditionalFormatting sqref="M233:M237">
    <cfRule type="cellIs" dxfId="481" priority="5014" stopIfTrue="1" operator="lessThan">
      <formula>1</formula>
    </cfRule>
  </conditionalFormatting>
  <conditionalFormatting sqref="M233:M237">
    <cfRule type="cellIs" dxfId="480" priority="5013" stopIfTrue="1" operator="lessThan">
      <formula>1</formula>
    </cfRule>
  </conditionalFormatting>
  <conditionalFormatting sqref="M233:M237">
    <cfRule type="cellIs" dxfId="479" priority="5012" stopIfTrue="1" operator="lessThan">
      <formula>1</formula>
    </cfRule>
  </conditionalFormatting>
  <conditionalFormatting sqref="M242:M247">
    <cfRule type="cellIs" dxfId="478" priority="5004" stopIfTrue="1" operator="lessThan">
      <formula>1</formula>
    </cfRule>
  </conditionalFormatting>
  <conditionalFormatting sqref="M242:M247">
    <cfRule type="cellIs" dxfId="477" priority="5003" stopIfTrue="1" operator="lessThan">
      <formula>1</formula>
    </cfRule>
  </conditionalFormatting>
  <conditionalFormatting sqref="M242:M247">
    <cfRule type="cellIs" dxfId="476" priority="5002" stopIfTrue="1" operator="lessThan">
      <formula>1</formula>
    </cfRule>
  </conditionalFormatting>
  <conditionalFormatting sqref="M242:M247">
    <cfRule type="cellIs" dxfId="475" priority="5001" stopIfTrue="1" operator="lessThan">
      <formula>1</formula>
    </cfRule>
  </conditionalFormatting>
  <conditionalFormatting sqref="M242:M247">
    <cfRule type="cellIs" dxfId="474" priority="5000" stopIfTrue="1" operator="lessThan">
      <formula>1</formula>
    </cfRule>
  </conditionalFormatting>
  <conditionalFormatting sqref="M251:M256">
    <cfRule type="cellIs" dxfId="473" priority="4992" stopIfTrue="1" operator="lessThan">
      <formula>1</formula>
    </cfRule>
  </conditionalFormatting>
  <conditionalFormatting sqref="M251:M256">
    <cfRule type="cellIs" dxfId="472" priority="4991" stopIfTrue="1" operator="lessThan">
      <formula>1</formula>
    </cfRule>
  </conditionalFormatting>
  <conditionalFormatting sqref="M251:M256">
    <cfRule type="cellIs" dxfId="471" priority="4990" stopIfTrue="1" operator="lessThan">
      <formula>1</formula>
    </cfRule>
  </conditionalFormatting>
  <conditionalFormatting sqref="M251:M256">
    <cfRule type="cellIs" dxfId="470" priority="4989" stopIfTrue="1" operator="lessThan">
      <formula>1</formula>
    </cfRule>
  </conditionalFormatting>
  <conditionalFormatting sqref="M251:M256">
    <cfRule type="cellIs" dxfId="469" priority="4988" stopIfTrue="1" operator="lessThan">
      <formula>1</formula>
    </cfRule>
  </conditionalFormatting>
  <conditionalFormatting sqref="L105">
    <cfRule type="cellIs" dxfId="468" priority="4512" operator="lessThan">
      <formula>0.75</formula>
    </cfRule>
    <cfRule type="cellIs" dxfId="467" priority="4513" operator="greaterThan">
      <formula>0.75</formula>
    </cfRule>
  </conditionalFormatting>
  <conditionalFormatting sqref="L104">
    <cfRule type="cellIs" dxfId="466" priority="4510" operator="lessThan">
      <formula>0.75</formula>
    </cfRule>
    <cfRule type="cellIs" dxfId="465" priority="4511" operator="greaterThan">
      <formula>0.75</formula>
    </cfRule>
  </conditionalFormatting>
  <conditionalFormatting sqref="M16">
    <cfRule type="cellIs" dxfId="464" priority="4075" stopIfTrue="1" operator="lessThan">
      <formula>1</formula>
    </cfRule>
  </conditionalFormatting>
  <conditionalFormatting sqref="M16">
    <cfRule type="cellIs" dxfId="463" priority="4074" stopIfTrue="1" operator="lessThan">
      <formula>1</formula>
    </cfRule>
  </conditionalFormatting>
  <conditionalFormatting sqref="M16">
    <cfRule type="cellIs" dxfId="462" priority="4073" stopIfTrue="1" operator="lessThan">
      <formula>1</formula>
    </cfRule>
  </conditionalFormatting>
  <conditionalFormatting sqref="M16">
    <cfRule type="cellIs" dxfId="461" priority="4072" stopIfTrue="1" operator="lessThan">
      <formula>1</formula>
    </cfRule>
  </conditionalFormatting>
  <conditionalFormatting sqref="M16">
    <cfRule type="cellIs" dxfId="460" priority="4071" stopIfTrue="1" operator="lessThan">
      <formula>1</formula>
    </cfRule>
  </conditionalFormatting>
  <conditionalFormatting sqref="M16">
    <cfRule type="cellIs" dxfId="459" priority="4068" stopIfTrue="1" operator="lessThan">
      <formula>1</formula>
    </cfRule>
  </conditionalFormatting>
  <conditionalFormatting sqref="M16">
    <cfRule type="cellIs" dxfId="458" priority="4067" stopIfTrue="1" operator="lessThan">
      <formula>1</formula>
    </cfRule>
  </conditionalFormatting>
  <conditionalFormatting sqref="M16">
    <cfRule type="cellIs" dxfId="457" priority="4066" stopIfTrue="1" operator="lessThan">
      <formula>1</formula>
    </cfRule>
  </conditionalFormatting>
  <conditionalFormatting sqref="M16">
    <cfRule type="cellIs" dxfId="456" priority="4070" stopIfTrue="1" operator="lessThan">
      <formula>1</formula>
    </cfRule>
  </conditionalFormatting>
  <conditionalFormatting sqref="M16">
    <cfRule type="cellIs" dxfId="455" priority="4069" stopIfTrue="1" operator="lessThan">
      <formula>1</formula>
    </cfRule>
  </conditionalFormatting>
  <conditionalFormatting sqref="M16">
    <cfRule type="cellIs" dxfId="454" priority="4065" stopIfTrue="1" operator="lessThan">
      <formula>1</formula>
    </cfRule>
  </conditionalFormatting>
  <conditionalFormatting sqref="M16">
    <cfRule type="cellIs" dxfId="453" priority="4064" stopIfTrue="1" operator="lessThan">
      <formula>1</formula>
    </cfRule>
  </conditionalFormatting>
  <conditionalFormatting sqref="M16">
    <cfRule type="cellIs" dxfId="452" priority="4063" stopIfTrue="1" operator="lessThan">
      <formula>1</formula>
    </cfRule>
  </conditionalFormatting>
  <conditionalFormatting sqref="M16">
    <cfRule type="cellIs" dxfId="451" priority="4062" stopIfTrue="1" operator="lessThan">
      <formula>1</formula>
    </cfRule>
  </conditionalFormatting>
  <conditionalFormatting sqref="M16">
    <cfRule type="cellIs" dxfId="450" priority="4061" stopIfTrue="1" operator="lessThan">
      <formula>1</formula>
    </cfRule>
  </conditionalFormatting>
  <conditionalFormatting sqref="M11:M15">
    <cfRule type="cellIs" dxfId="449" priority="4058" stopIfTrue="1" operator="lessThan">
      <formula>1</formula>
    </cfRule>
  </conditionalFormatting>
  <conditionalFormatting sqref="M11:M15">
    <cfRule type="cellIs" dxfId="448" priority="4057" stopIfTrue="1" operator="lessThan">
      <formula>1</formula>
    </cfRule>
  </conditionalFormatting>
  <conditionalFormatting sqref="M11:M15">
    <cfRule type="cellIs" dxfId="447" priority="4056" stopIfTrue="1" operator="lessThan">
      <formula>1</formula>
    </cfRule>
  </conditionalFormatting>
  <conditionalFormatting sqref="M11:M15">
    <cfRule type="cellIs" dxfId="446" priority="4060" stopIfTrue="1" operator="lessThan">
      <formula>1</formula>
    </cfRule>
  </conditionalFormatting>
  <conditionalFormatting sqref="M11:M15">
    <cfRule type="cellIs" dxfId="445" priority="4059" stopIfTrue="1" operator="lessThan">
      <formula>1</formula>
    </cfRule>
  </conditionalFormatting>
  <conditionalFormatting sqref="M25">
    <cfRule type="cellIs" dxfId="444" priority="4040" stopIfTrue="1" operator="lessThan">
      <formula>1</formula>
    </cfRule>
  </conditionalFormatting>
  <conditionalFormatting sqref="M25">
    <cfRule type="cellIs" dxfId="443" priority="4039" stopIfTrue="1" operator="lessThan">
      <formula>1</formula>
    </cfRule>
  </conditionalFormatting>
  <conditionalFormatting sqref="M25">
    <cfRule type="cellIs" dxfId="442" priority="4038" stopIfTrue="1" operator="lessThan">
      <formula>1</formula>
    </cfRule>
  </conditionalFormatting>
  <conditionalFormatting sqref="M25">
    <cfRule type="cellIs" dxfId="441" priority="4037" stopIfTrue="1" operator="lessThan">
      <formula>1</formula>
    </cfRule>
  </conditionalFormatting>
  <conditionalFormatting sqref="M25">
    <cfRule type="cellIs" dxfId="440" priority="4036" stopIfTrue="1" operator="lessThan">
      <formula>1</formula>
    </cfRule>
  </conditionalFormatting>
  <conditionalFormatting sqref="M260:M265">
    <cfRule type="cellIs" dxfId="439" priority="3625" stopIfTrue="1" operator="lessThan">
      <formula>1</formula>
    </cfRule>
  </conditionalFormatting>
  <conditionalFormatting sqref="M260:M265">
    <cfRule type="cellIs" dxfId="438" priority="3624" stopIfTrue="1" operator="lessThan">
      <formula>1</formula>
    </cfRule>
  </conditionalFormatting>
  <conditionalFormatting sqref="M260:M265">
    <cfRule type="cellIs" dxfId="437" priority="3623" stopIfTrue="1" operator="lessThan">
      <formula>1</formula>
    </cfRule>
  </conditionalFormatting>
  <conditionalFormatting sqref="M260:M265">
    <cfRule type="cellIs" dxfId="436" priority="3622" stopIfTrue="1" operator="lessThan">
      <formula>1</formula>
    </cfRule>
  </conditionalFormatting>
  <conditionalFormatting sqref="M260:M265">
    <cfRule type="cellIs" dxfId="435" priority="3621" stopIfTrue="1" operator="lessThan">
      <formula>1</formula>
    </cfRule>
  </conditionalFormatting>
  <conditionalFormatting sqref="M269:M274">
    <cfRule type="cellIs" dxfId="434" priority="3613" stopIfTrue="1" operator="lessThan">
      <formula>1</formula>
    </cfRule>
  </conditionalFormatting>
  <conditionalFormatting sqref="M269:M274">
    <cfRule type="cellIs" dxfId="433" priority="3612" stopIfTrue="1" operator="lessThan">
      <formula>1</formula>
    </cfRule>
  </conditionalFormatting>
  <conditionalFormatting sqref="M269:M274">
    <cfRule type="cellIs" dxfId="432" priority="3611" stopIfTrue="1" operator="lessThan">
      <formula>1</formula>
    </cfRule>
  </conditionalFormatting>
  <conditionalFormatting sqref="M269:M274">
    <cfRule type="cellIs" dxfId="431" priority="3610" stopIfTrue="1" operator="lessThan">
      <formula>1</formula>
    </cfRule>
  </conditionalFormatting>
  <conditionalFormatting sqref="M269:M274">
    <cfRule type="cellIs" dxfId="430" priority="3609" stopIfTrue="1" operator="lessThan">
      <formula>1</formula>
    </cfRule>
  </conditionalFormatting>
  <conditionalFormatting sqref="M278:M283">
    <cfRule type="cellIs" dxfId="429" priority="3601" stopIfTrue="1" operator="lessThan">
      <formula>1</formula>
    </cfRule>
  </conditionalFormatting>
  <conditionalFormatting sqref="M278:M283">
    <cfRule type="cellIs" dxfId="428" priority="3600" stopIfTrue="1" operator="lessThan">
      <formula>1</formula>
    </cfRule>
  </conditionalFormatting>
  <conditionalFormatting sqref="M278:M283">
    <cfRule type="cellIs" dxfId="427" priority="3599" stopIfTrue="1" operator="lessThan">
      <formula>1</formula>
    </cfRule>
  </conditionalFormatting>
  <conditionalFormatting sqref="M278:M283">
    <cfRule type="cellIs" dxfId="426" priority="3598" stopIfTrue="1" operator="lessThan">
      <formula>1</formula>
    </cfRule>
  </conditionalFormatting>
  <conditionalFormatting sqref="M278:M283">
    <cfRule type="cellIs" dxfId="425" priority="3597" stopIfTrue="1" operator="lessThan">
      <formula>1</formula>
    </cfRule>
  </conditionalFormatting>
  <conditionalFormatting sqref="M287:M292">
    <cfRule type="cellIs" dxfId="424" priority="3589" stopIfTrue="1" operator="lessThan">
      <formula>1</formula>
    </cfRule>
  </conditionalFormatting>
  <conditionalFormatting sqref="M287:M292">
    <cfRule type="cellIs" dxfId="423" priority="3588" stopIfTrue="1" operator="lessThan">
      <formula>1</formula>
    </cfRule>
  </conditionalFormatting>
  <conditionalFormatting sqref="M287:M292">
    <cfRule type="cellIs" dxfId="422" priority="3587" stopIfTrue="1" operator="lessThan">
      <formula>1</formula>
    </cfRule>
  </conditionalFormatting>
  <conditionalFormatting sqref="M287:M292">
    <cfRule type="cellIs" dxfId="421" priority="3586" stopIfTrue="1" operator="lessThan">
      <formula>1</formula>
    </cfRule>
  </conditionalFormatting>
  <conditionalFormatting sqref="M287:M292">
    <cfRule type="cellIs" dxfId="420" priority="3585" stopIfTrue="1" operator="lessThan">
      <formula>1</formula>
    </cfRule>
  </conditionalFormatting>
  <conditionalFormatting sqref="M296:M301">
    <cfRule type="cellIs" dxfId="419" priority="3577" stopIfTrue="1" operator="lessThan">
      <formula>1</formula>
    </cfRule>
  </conditionalFormatting>
  <conditionalFormatting sqref="M296:M301">
    <cfRule type="cellIs" dxfId="418" priority="3576" stopIfTrue="1" operator="lessThan">
      <formula>1</formula>
    </cfRule>
  </conditionalFormatting>
  <conditionalFormatting sqref="M296:M301">
    <cfRule type="cellIs" dxfId="417" priority="3575" stopIfTrue="1" operator="lessThan">
      <formula>1</formula>
    </cfRule>
  </conditionalFormatting>
  <conditionalFormatting sqref="M296:M301">
    <cfRule type="cellIs" dxfId="416" priority="3574" stopIfTrue="1" operator="lessThan">
      <formula>1</formula>
    </cfRule>
  </conditionalFormatting>
  <conditionalFormatting sqref="M296:M301">
    <cfRule type="cellIs" dxfId="415" priority="3573" stopIfTrue="1" operator="lessThan">
      <formula>1</formula>
    </cfRule>
  </conditionalFormatting>
  <conditionalFormatting sqref="M31:M36">
    <cfRule type="cellIs" dxfId="414" priority="2298" stopIfTrue="1" operator="lessThan">
      <formula>1</formula>
    </cfRule>
  </conditionalFormatting>
  <conditionalFormatting sqref="M31:M36">
    <cfRule type="cellIs" dxfId="413" priority="2297" stopIfTrue="1" operator="lessThan">
      <formula>1</formula>
    </cfRule>
  </conditionalFormatting>
  <conditionalFormatting sqref="M31:M36">
    <cfRule type="cellIs" dxfId="412" priority="2296" stopIfTrue="1" operator="lessThan">
      <formula>1</formula>
    </cfRule>
  </conditionalFormatting>
  <conditionalFormatting sqref="M31:M36">
    <cfRule type="cellIs" dxfId="411" priority="2295" stopIfTrue="1" operator="lessThan">
      <formula>1</formula>
    </cfRule>
  </conditionalFormatting>
  <conditionalFormatting sqref="M31:M36">
    <cfRule type="cellIs" dxfId="410" priority="2294" stopIfTrue="1" operator="lessThan">
      <formula>1</formula>
    </cfRule>
  </conditionalFormatting>
  <conditionalFormatting sqref="M41">
    <cfRule type="cellIs" dxfId="409" priority="2293" stopIfTrue="1" operator="lessThan">
      <formula>1</formula>
    </cfRule>
  </conditionalFormatting>
  <conditionalFormatting sqref="M41">
    <cfRule type="cellIs" dxfId="408" priority="2292" stopIfTrue="1" operator="lessThan">
      <formula>1</formula>
    </cfRule>
  </conditionalFormatting>
  <conditionalFormatting sqref="M41">
    <cfRule type="cellIs" dxfId="407" priority="2291" stopIfTrue="1" operator="lessThan">
      <formula>1</formula>
    </cfRule>
  </conditionalFormatting>
  <conditionalFormatting sqref="M41">
    <cfRule type="cellIs" dxfId="406" priority="2290" stopIfTrue="1" operator="lessThan">
      <formula>1</formula>
    </cfRule>
  </conditionalFormatting>
  <conditionalFormatting sqref="M41">
    <cfRule type="cellIs" dxfId="405" priority="2289" stopIfTrue="1" operator="lessThan">
      <formula>1</formula>
    </cfRule>
  </conditionalFormatting>
  <conditionalFormatting sqref="M42:M46">
    <cfRule type="cellIs" dxfId="404" priority="2288" stopIfTrue="1" operator="lessThan">
      <formula>1</formula>
    </cfRule>
  </conditionalFormatting>
  <conditionalFormatting sqref="M42:M46">
    <cfRule type="cellIs" dxfId="403" priority="2287" stopIfTrue="1" operator="lessThan">
      <formula>1</formula>
    </cfRule>
  </conditionalFormatting>
  <conditionalFormatting sqref="M42:M46">
    <cfRule type="cellIs" dxfId="402" priority="2286" stopIfTrue="1" operator="lessThan">
      <formula>1</formula>
    </cfRule>
  </conditionalFormatting>
  <conditionalFormatting sqref="M42:M46">
    <cfRule type="cellIs" dxfId="401" priority="2285" stopIfTrue="1" operator="lessThan">
      <formula>1</formula>
    </cfRule>
  </conditionalFormatting>
  <conditionalFormatting sqref="M42:M46">
    <cfRule type="cellIs" dxfId="400" priority="2284" stopIfTrue="1" operator="lessThan">
      <formula>1</formula>
    </cfRule>
  </conditionalFormatting>
  <conditionalFormatting sqref="M51:M56">
    <cfRule type="cellIs" dxfId="399" priority="2283" stopIfTrue="1" operator="lessThan">
      <formula>1</formula>
    </cfRule>
  </conditionalFormatting>
  <conditionalFormatting sqref="M51:M56">
    <cfRule type="cellIs" dxfId="398" priority="2282" stopIfTrue="1" operator="lessThan">
      <formula>1</formula>
    </cfRule>
  </conditionalFormatting>
  <conditionalFormatting sqref="M51:M56">
    <cfRule type="cellIs" dxfId="397" priority="2281" stopIfTrue="1" operator="lessThan">
      <formula>1</formula>
    </cfRule>
  </conditionalFormatting>
  <conditionalFormatting sqref="M51:M56">
    <cfRule type="cellIs" dxfId="396" priority="2280" stopIfTrue="1" operator="lessThan">
      <formula>1</formula>
    </cfRule>
  </conditionalFormatting>
  <conditionalFormatting sqref="M51:M56">
    <cfRule type="cellIs" dxfId="395" priority="2279" stopIfTrue="1" operator="lessThan">
      <formula>1</formula>
    </cfRule>
  </conditionalFormatting>
  <conditionalFormatting sqref="M61:M66">
    <cfRule type="cellIs" dxfId="394" priority="2278" stopIfTrue="1" operator="lessThan">
      <formula>1</formula>
    </cfRule>
  </conditionalFormatting>
  <conditionalFormatting sqref="M61:M66">
    <cfRule type="cellIs" dxfId="393" priority="2277" stopIfTrue="1" operator="lessThan">
      <formula>1</formula>
    </cfRule>
  </conditionalFormatting>
  <conditionalFormatting sqref="M61:M66">
    <cfRule type="cellIs" dxfId="392" priority="2276" stopIfTrue="1" operator="lessThan">
      <formula>1</formula>
    </cfRule>
  </conditionalFormatting>
  <conditionalFormatting sqref="M61:M66">
    <cfRule type="cellIs" dxfId="391" priority="2275" stopIfTrue="1" operator="lessThan">
      <formula>1</formula>
    </cfRule>
  </conditionalFormatting>
  <conditionalFormatting sqref="M61:M66">
    <cfRule type="cellIs" dxfId="390" priority="2274" stopIfTrue="1" operator="lessThan">
      <formula>1</formula>
    </cfRule>
  </conditionalFormatting>
  <conditionalFormatting sqref="M111:M116">
    <cfRule type="cellIs" dxfId="389" priority="2273" stopIfTrue="1" operator="lessThan">
      <formula>1</formula>
    </cfRule>
  </conditionalFormatting>
  <conditionalFormatting sqref="M111:M116">
    <cfRule type="cellIs" dxfId="388" priority="2272" stopIfTrue="1" operator="lessThan">
      <formula>1</formula>
    </cfRule>
  </conditionalFormatting>
  <conditionalFormatting sqref="M111:M116">
    <cfRule type="cellIs" dxfId="387" priority="2271" stopIfTrue="1" operator="lessThan">
      <formula>1</formula>
    </cfRule>
  </conditionalFormatting>
  <conditionalFormatting sqref="M111:M116">
    <cfRule type="cellIs" dxfId="386" priority="2270" stopIfTrue="1" operator="lessThan">
      <formula>1</formula>
    </cfRule>
  </conditionalFormatting>
  <conditionalFormatting sqref="M111:M116">
    <cfRule type="cellIs" dxfId="385" priority="2269" stopIfTrue="1" operator="lessThan">
      <formula>1</formula>
    </cfRule>
  </conditionalFormatting>
  <conditionalFormatting sqref="M101:M106">
    <cfRule type="cellIs" dxfId="384" priority="2268" stopIfTrue="1" operator="lessThan">
      <formula>1</formula>
    </cfRule>
  </conditionalFormatting>
  <conditionalFormatting sqref="M101:M106">
    <cfRule type="cellIs" dxfId="383" priority="2267" stopIfTrue="1" operator="lessThan">
      <formula>1</formula>
    </cfRule>
  </conditionalFormatting>
  <conditionalFormatting sqref="M101:M106">
    <cfRule type="cellIs" dxfId="382" priority="2266" stopIfTrue="1" operator="lessThan">
      <formula>1</formula>
    </cfRule>
  </conditionalFormatting>
  <conditionalFormatting sqref="M101:M106">
    <cfRule type="cellIs" dxfId="381" priority="2265" stopIfTrue="1" operator="lessThan">
      <formula>1</formula>
    </cfRule>
  </conditionalFormatting>
  <conditionalFormatting sqref="M101:M106">
    <cfRule type="cellIs" dxfId="380" priority="2264" stopIfTrue="1" operator="lessThan">
      <formula>1</formula>
    </cfRule>
  </conditionalFormatting>
  <conditionalFormatting sqref="R9">
    <cfRule type="cellIs" dxfId="379" priority="1887" operator="greaterThan">
      <formula>5</formula>
    </cfRule>
  </conditionalFormatting>
  <conditionalFormatting sqref="O8:O10 O12:O301">
    <cfRule type="expression" dxfId="378" priority="1507">
      <formula>"&lt;0"</formula>
    </cfRule>
    <cfRule type="expression" dxfId="377" priority="1886">
      <formula>"&gt;0"</formula>
    </cfRule>
  </conditionalFormatting>
  <conditionalFormatting sqref="D11">
    <cfRule type="cellIs" dxfId="376" priority="369" stopIfTrue="1" operator="greaterThan">
      <formula>#REF!</formula>
    </cfRule>
    <cfRule type="cellIs" dxfId="375" priority="370" stopIfTrue="1" operator="lessThanOrEqual">
      <formula>#REF!</formula>
    </cfRule>
  </conditionalFormatting>
  <conditionalFormatting sqref="D12">
    <cfRule type="cellIs" dxfId="374" priority="371" stopIfTrue="1" operator="greaterThan">
      <formula>#REF!</formula>
    </cfRule>
    <cfRule type="cellIs" dxfId="373" priority="372" stopIfTrue="1" operator="lessThanOrEqual">
      <formula>#REF!</formula>
    </cfRule>
  </conditionalFormatting>
  <conditionalFormatting sqref="D13">
    <cfRule type="cellIs" dxfId="372" priority="373" stopIfTrue="1" operator="greaterThan">
      <formula>#REF!</formula>
    </cfRule>
    <cfRule type="cellIs" dxfId="371" priority="374" stopIfTrue="1" operator="lessThanOrEqual">
      <formula>#REF!</formula>
    </cfRule>
  </conditionalFormatting>
  <conditionalFormatting sqref="D14">
    <cfRule type="cellIs" dxfId="370" priority="375" stopIfTrue="1" operator="greaterThan">
      <formula>#REF!</formula>
    </cfRule>
    <cfRule type="cellIs" dxfId="369" priority="376" stopIfTrue="1" operator="lessThanOrEqual">
      <formula>#REF!</formula>
    </cfRule>
  </conditionalFormatting>
  <conditionalFormatting sqref="D15">
    <cfRule type="cellIs" dxfId="368" priority="377" stopIfTrue="1" operator="greaterThan">
      <formula>#REF!</formula>
    </cfRule>
    <cfRule type="cellIs" dxfId="367" priority="378" stopIfTrue="1" operator="lessThanOrEqual">
      <formula>#REF!</formula>
    </cfRule>
  </conditionalFormatting>
  <conditionalFormatting sqref="F81:F84">
    <cfRule type="cellIs" dxfId="366" priority="355" stopIfTrue="1" operator="lessThan">
      <formula>1</formula>
    </cfRule>
  </conditionalFormatting>
  <conditionalFormatting sqref="F81:F84">
    <cfRule type="cellIs" dxfId="365" priority="354" stopIfTrue="1" operator="lessThan">
      <formula>1</formula>
    </cfRule>
  </conditionalFormatting>
  <conditionalFormatting sqref="F81:F84">
    <cfRule type="cellIs" dxfId="364" priority="357" stopIfTrue="1" operator="lessThan">
      <formula>1</formula>
    </cfRule>
  </conditionalFormatting>
  <conditionalFormatting sqref="F81:F84">
    <cfRule type="cellIs" dxfId="363" priority="356" stopIfTrue="1" operator="lessThan">
      <formula>1</formula>
    </cfRule>
  </conditionalFormatting>
  <conditionalFormatting sqref="F71:F74">
    <cfRule type="cellIs" dxfId="362" priority="363" stopIfTrue="1" operator="lessThan">
      <formula>1</formula>
    </cfRule>
  </conditionalFormatting>
  <conditionalFormatting sqref="F71:F74">
    <cfRule type="cellIs" dxfId="361" priority="362" stopIfTrue="1" operator="lessThan">
      <formula>1</formula>
    </cfRule>
  </conditionalFormatting>
  <conditionalFormatting sqref="F81:F84">
    <cfRule type="cellIs" dxfId="360" priority="353" stopIfTrue="1" operator="lessThan">
      <formula>1</formula>
    </cfRule>
  </conditionalFormatting>
  <conditionalFormatting sqref="F71:F74">
    <cfRule type="cellIs" dxfId="359" priority="361" stopIfTrue="1" operator="lessThan">
      <formula>1</formula>
    </cfRule>
  </conditionalFormatting>
  <conditionalFormatting sqref="F71:F74">
    <cfRule type="cellIs" dxfId="358" priority="364" stopIfTrue="1" operator="lessThan">
      <formula>1</formula>
    </cfRule>
  </conditionalFormatting>
  <conditionalFormatting sqref="D61:D64">
    <cfRule type="cellIs" dxfId="357" priority="367" stopIfTrue="1" operator="greaterThan">
      <formula>#REF!</formula>
    </cfRule>
    <cfRule type="cellIs" dxfId="356" priority="368" stopIfTrue="1" operator="lessThanOrEqual">
      <formula>#REF!</formula>
    </cfRule>
  </conditionalFormatting>
  <conditionalFormatting sqref="F71:F74">
    <cfRule type="cellIs" dxfId="355" priority="360" stopIfTrue="1" operator="lessThan">
      <formula>1</formula>
    </cfRule>
  </conditionalFormatting>
  <conditionalFormatting sqref="D71:D74">
    <cfRule type="cellIs" dxfId="354" priority="365" stopIfTrue="1" operator="greaterThan">
      <formula>#REF!</formula>
    </cfRule>
    <cfRule type="cellIs" dxfId="353" priority="366" stopIfTrue="1" operator="lessThanOrEqual">
      <formula>#REF!</formula>
    </cfRule>
  </conditionalFormatting>
  <conditionalFormatting sqref="D81:D84">
    <cfRule type="cellIs" dxfId="352" priority="358" stopIfTrue="1" operator="greaterThan">
      <formula>#REF!</formula>
    </cfRule>
    <cfRule type="cellIs" dxfId="351" priority="359" stopIfTrue="1" operator="lessThanOrEqual">
      <formula>#REF!</formula>
    </cfRule>
  </conditionalFormatting>
  <conditionalFormatting sqref="D101:D104">
    <cfRule type="cellIs" dxfId="350" priority="351" stopIfTrue="1" operator="greaterThan">
      <formula>#REF!</formula>
    </cfRule>
    <cfRule type="cellIs" dxfId="349" priority="352" stopIfTrue="1" operator="lessThanOrEqual">
      <formula>#REF!</formula>
    </cfRule>
  </conditionalFormatting>
  <conditionalFormatting sqref="D111:D114">
    <cfRule type="cellIs" dxfId="348" priority="349" stopIfTrue="1" operator="greaterThan">
      <formula>#REF!</formula>
    </cfRule>
    <cfRule type="cellIs" dxfId="347" priority="350" stopIfTrue="1" operator="lessThanOrEqual">
      <formula>#REF!</formula>
    </cfRule>
  </conditionalFormatting>
  <conditionalFormatting sqref="F121:F124">
    <cfRule type="cellIs" dxfId="346" priority="346" stopIfTrue="1" operator="lessThan">
      <formula>1</formula>
    </cfRule>
  </conditionalFormatting>
  <conditionalFormatting sqref="F121:F124">
    <cfRule type="cellIs" dxfId="345" priority="345" stopIfTrue="1" operator="lessThan">
      <formula>1</formula>
    </cfRule>
  </conditionalFormatting>
  <conditionalFormatting sqref="F121:F124">
    <cfRule type="cellIs" dxfId="344" priority="344" stopIfTrue="1" operator="lessThan">
      <formula>1</formula>
    </cfRule>
  </conditionalFormatting>
  <conditionalFormatting sqref="F121:F124">
    <cfRule type="cellIs" dxfId="343" priority="343" stopIfTrue="1" operator="lessThan">
      <formula>1</formula>
    </cfRule>
  </conditionalFormatting>
  <conditionalFormatting sqref="F121:F124">
    <cfRule type="cellIs" dxfId="342" priority="342" stopIfTrue="1" operator="lessThan">
      <formula>1</formula>
    </cfRule>
  </conditionalFormatting>
  <conditionalFormatting sqref="D121:D124">
    <cfRule type="cellIs" dxfId="341" priority="347" stopIfTrue="1" operator="greaterThan">
      <formula>#REF!</formula>
    </cfRule>
    <cfRule type="cellIs" dxfId="340" priority="348" stopIfTrue="1" operator="lessThanOrEqual">
      <formula>#REF!</formula>
    </cfRule>
  </conditionalFormatting>
  <conditionalFormatting sqref="F131:F134">
    <cfRule type="cellIs" dxfId="339" priority="339" stopIfTrue="1" operator="lessThan">
      <formula>1</formula>
    </cfRule>
  </conditionalFormatting>
  <conditionalFormatting sqref="F131:F134">
    <cfRule type="cellIs" dxfId="338" priority="338" stopIfTrue="1" operator="lessThan">
      <formula>1</formula>
    </cfRule>
  </conditionalFormatting>
  <conditionalFormatting sqref="F131:F134">
    <cfRule type="cellIs" dxfId="337" priority="337" stopIfTrue="1" operator="lessThan">
      <formula>1</formula>
    </cfRule>
  </conditionalFormatting>
  <conditionalFormatting sqref="F131:F134">
    <cfRule type="cellIs" dxfId="336" priority="336" stopIfTrue="1" operator="lessThan">
      <formula>1</formula>
    </cfRule>
  </conditionalFormatting>
  <conditionalFormatting sqref="F131:F134">
    <cfRule type="cellIs" dxfId="335" priority="335" stopIfTrue="1" operator="lessThan">
      <formula>1</formula>
    </cfRule>
  </conditionalFormatting>
  <conditionalFormatting sqref="D131:D134">
    <cfRule type="cellIs" dxfId="334" priority="340" stopIfTrue="1" operator="greaterThan">
      <formula>#REF!</formula>
    </cfRule>
    <cfRule type="cellIs" dxfId="333" priority="341" stopIfTrue="1" operator="lessThanOrEqual">
      <formula>#REF!</formula>
    </cfRule>
  </conditionalFormatting>
  <conditionalFormatting sqref="F141:F144">
    <cfRule type="cellIs" dxfId="332" priority="332" stopIfTrue="1" operator="lessThan">
      <formula>1</formula>
    </cfRule>
  </conditionalFormatting>
  <conditionalFormatting sqref="F141:F144">
    <cfRule type="cellIs" dxfId="331" priority="331" stopIfTrue="1" operator="lessThan">
      <formula>1</formula>
    </cfRule>
  </conditionalFormatting>
  <conditionalFormatting sqref="F141:F144">
    <cfRule type="cellIs" dxfId="330" priority="330" stopIfTrue="1" operator="lessThan">
      <formula>1</formula>
    </cfRule>
  </conditionalFormatting>
  <conditionalFormatting sqref="F141:F144">
    <cfRule type="cellIs" dxfId="329" priority="329" stopIfTrue="1" operator="lessThan">
      <formula>1</formula>
    </cfRule>
  </conditionalFormatting>
  <conditionalFormatting sqref="F141:F144">
    <cfRule type="cellIs" dxfId="328" priority="328" stopIfTrue="1" operator="lessThan">
      <formula>1</formula>
    </cfRule>
  </conditionalFormatting>
  <conditionalFormatting sqref="D141:D144">
    <cfRule type="cellIs" dxfId="327" priority="333" stopIfTrue="1" operator="greaterThan">
      <formula>#REF!</formula>
    </cfRule>
    <cfRule type="cellIs" dxfId="326" priority="334" stopIfTrue="1" operator="lessThanOrEqual">
      <formula>#REF!</formula>
    </cfRule>
  </conditionalFormatting>
  <conditionalFormatting sqref="F21:F24">
    <cfRule type="cellIs" dxfId="325" priority="325" stopIfTrue="1" operator="lessThan">
      <formula>1</formula>
    </cfRule>
  </conditionalFormatting>
  <conditionalFormatting sqref="F21:F24">
    <cfRule type="cellIs" dxfId="324" priority="324" stopIfTrue="1" operator="lessThan">
      <formula>1</formula>
    </cfRule>
  </conditionalFormatting>
  <conditionalFormatting sqref="F21:F24">
    <cfRule type="cellIs" dxfId="323" priority="323" stopIfTrue="1" operator="lessThan">
      <formula>1</formula>
    </cfRule>
  </conditionalFormatting>
  <conditionalFormatting sqref="F21:F24">
    <cfRule type="cellIs" dxfId="322" priority="322" stopIfTrue="1" operator="lessThan">
      <formula>1</formula>
    </cfRule>
  </conditionalFormatting>
  <conditionalFormatting sqref="F21:F24">
    <cfRule type="cellIs" dxfId="321" priority="321" stopIfTrue="1" operator="lessThan">
      <formula>1</formula>
    </cfRule>
  </conditionalFormatting>
  <conditionalFormatting sqref="D21:D24">
    <cfRule type="cellIs" dxfId="320" priority="326" stopIfTrue="1" operator="greaterThan">
      <formula>#REF!</formula>
    </cfRule>
    <cfRule type="cellIs" dxfId="319" priority="327" stopIfTrue="1" operator="lessThanOrEqual">
      <formula>#REF!</formula>
    </cfRule>
  </conditionalFormatting>
  <conditionalFormatting sqref="D31:D34 D36">
    <cfRule type="cellIs" dxfId="318" priority="319" stopIfTrue="1" operator="greaterThan">
      <formula>#REF!</formula>
    </cfRule>
    <cfRule type="cellIs" dxfId="317" priority="320" stopIfTrue="1" operator="lessThanOrEqual">
      <formula>#REF!</formula>
    </cfRule>
  </conditionalFormatting>
  <conditionalFormatting sqref="D41:D44">
    <cfRule type="cellIs" dxfId="316" priority="317" stopIfTrue="1" operator="greaterThan">
      <formula>#REF!</formula>
    </cfRule>
    <cfRule type="cellIs" dxfId="315" priority="318" stopIfTrue="1" operator="lessThanOrEqual">
      <formula>#REF!</formula>
    </cfRule>
  </conditionalFormatting>
  <conditionalFormatting sqref="D51:D54">
    <cfRule type="cellIs" dxfId="314" priority="315" stopIfTrue="1" operator="greaterThan">
      <formula>#REF!</formula>
    </cfRule>
    <cfRule type="cellIs" dxfId="313" priority="316" stopIfTrue="1" operator="lessThanOrEqual">
      <formula>#REF!</formula>
    </cfRule>
  </conditionalFormatting>
  <conditionalFormatting sqref="F91:F94">
    <cfRule type="cellIs" dxfId="312" priority="312" stopIfTrue="1" operator="lessThan">
      <formula>1</formula>
    </cfRule>
  </conditionalFormatting>
  <conditionalFormatting sqref="F91:F94">
    <cfRule type="cellIs" dxfId="311" priority="311" stopIfTrue="1" operator="lessThan">
      <formula>1</formula>
    </cfRule>
  </conditionalFormatting>
  <conditionalFormatting sqref="F91:F94">
    <cfRule type="cellIs" dxfId="310" priority="310" stopIfTrue="1" operator="lessThan">
      <formula>1</formula>
    </cfRule>
  </conditionalFormatting>
  <conditionalFormatting sqref="F91:F94">
    <cfRule type="cellIs" dxfId="309" priority="309" stopIfTrue="1" operator="lessThan">
      <formula>1</formula>
    </cfRule>
  </conditionalFormatting>
  <conditionalFormatting sqref="F91:F94">
    <cfRule type="cellIs" dxfId="308" priority="308" stopIfTrue="1" operator="lessThan">
      <formula>1</formula>
    </cfRule>
  </conditionalFormatting>
  <conditionalFormatting sqref="D91:D94">
    <cfRule type="cellIs" dxfId="307" priority="313" stopIfTrue="1" operator="greaterThan">
      <formula>#REF!</formula>
    </cfRule>
    <cfRule type="cellIs" dxfId="306" priority="314" stopIfTrue="1" operator="lessThanOrEqual">
      <formula>#REF!</formula>
    </cfRule>
  </conditionalFormatting>
  <conditionalFormatting sqref="F26">
    <cfRule type="cellIs" dxfId="305" priority="305" stopIfTrue="1" operator="lessThan">
      <formula>1</formula>
    </cfRule>
  </conditionalFormatting>
  <conditionalFormatting sqref="F26">
    <cfRule type="cellIs" dxfId="304" priority="304" stopIfTrue="1" operator="lessThan">
      <formula>1</formula>
    </cfRule>
  </conditionalFormatting>
  <conditionalFormatting sqref="F26">
    <cfRule type="cellIs" dxfId="303" priority="303" stopIfTrue="1" operator="lessThan">
      <formula>1</formula>
    </cfRule>
  </conditionalFormatting>
  <conditionalFormatting sqref="F26">
    <cfRule type="cellIs" dxfId="302" priority="302" stopIfTrue="1" operator="lessThan">
      <formula>1</formula>
    </cfRule>
  </conditionalFormatting>
  <conditionalFormatting sqref="F26">
    <cfRule type="cellIs" dxfId="301" priority="301" stopIfTrue="1" operator="lessThan">
      <formula>1</formula>
    </cfRule>
  </conditionalFormatting>
  <conditionalFormatting sqref="D26">
    <cfRule type="cellIs" dxfId="300" priority="306" stopIfTrue="1" operator="greaterThan">
      <formula>#REF!</formula>
    </cfRule>
    <cfRule type="cellIs" dxfId="299" priority="307" stopIfTrue="1" operator="lessThanOrEqual">
      <formula>#REF!</formula>
    </cfRule>
  </conditionalFormatting>
  <conditionalFormatting sqref="D56">
    <cfRule type="cellIs" dxfId="298" priority="297" stopIfTrue="1" operator="greaterThan">
      <formula>#REF!</formula>
    </cfRule>
    <cfRule type="cellIs" dxfId="297" priority="298" stopIfTrue="1" operator="lessThanOrEqual">
      <formula>#REF!</formula>
    </cfRule>
  </conditionalFormatting>
  <conditionalFormatting sqref="D46">
    <cfRule type="cellIs" dxfId="296" priority="299" stopIfTrue="1" operator="greaterThan">
      <formula>#REF!</formula>
    </cfRule>
    <cfRule type="cellIs" dxfId="295" priority="300" stopIfTrue="1" operator="lessThanOrEqual">
      <formula>#REF!</formula>
    </cfRule>
  </conditionalFormatting>
  <conditionalFormatting sqref="D66">
    <cfRule type="cellIs" dxfId="294" priority="295" stopIfTrue="1" operator="greaterThan">
      <formula>#REF!</formula>
    </cfRule>
    <cfRule type="cellIs" dxfId="293" priority="296" stopIfTrue="1" operator="lessThanOrEqual">
      <formula>#REF!</formula>
    </cfRule>
  </conditionalFormatting>
  <conditionalFormatting sqref="F76">
    <cfRule type="cellIs" dxfId="292" priority="292" stopIfTrue="1" operator="lessThan">
      <formula>1</formula>
    </cfRule>
  </conditionalFormatting>
  <conditionalFormatting sqref="F76">
    <cfRule type="cellIs" dxfId="291" priority="291" stopIfTrue="1" operator="lessThan">
      <formula>1</formula>
    </cfRule>
  </conditionalFormatting>
  <conditionalFormatting sqref="F76">
    <cfRule type="cellIs" dxfId="290" priority="290" stopIfTrue="1" operator="lessThan">
      <formula>1</formula>
    </cfRule>
  </conditionalFormatting>
  <conditionalFormatting sqref="F76">
    <cfRule type="cellIs" dxfId="289" priority="289" stopIfTrue="1" operator="lessThan">
      <formula>1</formula>
    </cfRule>
  </conditionalFormatting>
  <conditionalFormatting sqref="F76">
    <cfRule type="cellIs" dxfId="288" priority="288" stopIfTrue="1" operator="lessThan">
      <formula>1</formula>
    </cfRule>
  </conditionalFormatting>
  <conditionalFormatting sqref="D76">
    <cfRule type="cellIs" dxfId="287" priority="293" stopIfTrue="1" operator="greaterThan">
      <formula>#REF!</formula>
    </cfRule>
    <cfRule type="cellIs" dxfId="286" priority="294" stopIfTrue="1" operator="lessThanOrEqual">
      <formula>#REF!</formula>
    </cfRule>
  </conditionalFormatting>
  <conditionalFormatting sqref="F86">
    <cfRule type="cellIs" dxfId="285" priority="285" stopIfTrue="1" operator="lessThan">
      <formula>1</formula>
    </cfRule>
  </conditionalFormatting>
  <conditionalFormatting sqref="F86">
    <cfRule type="cellIs" dxfId="284" priority="284" stopIfTrue="1" operator="lessThan">
      <formula>1</formula>
    </cfRule>
  </conditionalFormatting>
  <conditionalFormatting sqref="F86">
    <cfRule type="cellIs" dxfId="283" priority="283" stopIfTrue="1" operator="lessThan">
      <formula>1</formula>
    </cfRule>
  </conditionalFormatting>
  <conditionalFormatting sqref="F86">
    <cfRule type="cellIs" dxfId="282" priority="282" stopIfTrue="1" operator="lessThan">
      <formula>1</formula>
    </cfRule>
  </conditionalFormatting>
  <conditionalFormatting sqref="F86">
    <cfRule type="cellIs" dxfId="281" priority="281" stopIfTrue="1" operator="lessThan">
      <formula>1</formula>
    </cfRule>
  </conditionalFormatting>
  <conditionalFormatting sqref="D86">
    <cfRule type="cellIs" dxfId="280" priority="286" stopIfTrue="1" operator="greaterThan">
      <formula>#REF!</formula>
    </cfRule>
    <cfRule type="cellIs" dxfId="279" priority="287" stopIfTrue="1" operator="lessThanOrEqual">
      <formula>#REF!</formula>
    </cfRule>
  </conditionalFormatting>
  <conditionalFormatting sqref="F96">
    <cfRule type="cellIs" dxfId="278" priority="278" stopIfTrue="1" operator="lessThan">
      <formula>1</formula>
    </cfRule>
  </conditionalFormatting>
  <conditionalFormatting sqref="F96">
    <cfRule type="cellIs" dxfId="277" priority="277" stopIfTrue="1" operator="lessThan">
      <formula>1</formula>
    </cfRule>
  </conditionalFormatting>
  <conditionalFormatting sqref="F96">
    <cfRule type="cellIs" dxfId="276" priority="276" stopIfTrue="1" operator="lessThan">
      <formula>1</formula>
    </cfRule>
  </conditionalFormatting>
  <conditionalFormatting sqref="F96">
    <cfRule type="cellIs" dxfId="275" priority="275" stopIfTrue="1" operator="lessThan">
      <formula>1</formula>
    </cfRule>
  </conditionalFormatting>
  <conditionalFormatting sqref="F96">
    <cfRule type="cellIs" dxfId="274" priority="274" stopIfTrue="1" operator="lessThan">
      <formula>1</formula>
    </cfRule>
  </conditionalFormatting>
  <conditionalFormatting sqref="D96">
    <cfRule type="cellIs" dxfId="273" priority="279" stopIfTrue="1" operator="greaterThan">
      <formula>#REF!</formula>
    </cfRule>
    <cfRule type="cellIs" dxfId="272" priority="280" stopIfTrue="1" operator="lessThanOrEqual">
      <formula>#REF!</formula>
    </cfRule>
  </conditionalFormatting>
  <conditionalFormatting sqref="D106">
    <cfRule type="cellIs" dxfId="271" priority="272" stopIfTrue="1" operator="greaterThan">
      <formula>#REF!</formula>
    </cfRule>
    <cfRule type="cellIs" dxfId="270" priority="273" stopIfTrue="1" operator="lessThanOrEqual">
      <formula>#REF!</formula>
    </cfRule>
  </conditionalFormatting>
  <conditionalFormatting sqref="D116">
    <cfRule type="cellIs" dxfId="269" priority="270" stopIfTrue="1" operator="greaterThan">
      <formula>#REF!</formula>
    </cfRule>
    <cfRule type="cellIs" dxfId="268" priority="271" stopIfTrue="1" operator="lessThanOrEqual">
      <formula>#REF!</formula>
    </cfRule>
  </conditionalFormatting>
  <conditionalFormatting sqref="D126">
    <cfRule type="cellIs" dxfId="267" priority="268" stopIfTrue="1" operator="greaterThan">
      <formula>#REF!</formula>
    </cfRule>
    <cfRule type="cellIs" dxfId="266" priority="269" stopIfTrue="1" operator="lessThanOrEqual">
      <formula>#REF!</formula>
    </cfRule>
  </conditionalFormatting>
  <conditionalFormatting sqref="F136">
    <cfRule type="cellIs" dxfId="265" priority="265" stopIfTrue="1" operator="lessThan">
      <formula>1</formula>
    </cfRule>
  </conditionalFormatting>
  <conditionalFormatting sqref="F136">
    <cfRule type="cellIs" dxfId="264" priority="264" stopIfTrue="1" operator="lessThan">
      <formula>1</formula>
    </cfRule>
  </conditionalFormatting>
  <conditionalFormatting sqref="F136">
    <cfRule type="cellIs" dxfId="263" priority="263" stopIfTrue="1" operator="lessThan">
      <formula>1</formula>
    </cfRule>
  </conditionalFormatting>
  <conditionalFormatting sqref="F136">
    <cfRule type="cellIs" dxfId="262" priority="262" stopIfTrue="1" operator="lessThan">
      <formula>1</formula>
    </cfRule>
  </conditionalFormatting>
  <conditionalFormatting sqref="F136">
    <cfRule type="cellIs" dxfId="261" priority="261" stopIfTrue="1" operator="lessThan">
      <formula>1</formula>
    </cfRule>
  </conditionalFormatting>
  <conditionalFormatting sqref="D136">
    <cfRule type="cellIs" dxfId="260" priority="266" stopIfTrue="1" operator="greaterThan">
      <formula>#REF!</formula>
    </cfRule>
    <cfRule type="cellIs" dxfId="259" priority="267" stopIfTrue="1" operator="lessThanOrEqual">
      <formula>#REF!</formula>
    </cfRule>
  </conditionalFormatting>
  <conditionalFormatting sqref="F146">
    <cfRule type="cellIs" dxfId="258" priority="258" stopIfTrue="1" operator="lessThan">
      <formula>1</formula>
    </cfRule>
  </conditionalFormatting>
  <conditionalFormatting sqref="F146">
    <cfRule type="cellIs" dxfId="257" priority="257" stopIfTrue="1" operator="lessThan">
      <formula>1</formula>
    </cfRule>
  </conditionalFormatting>
  <conditionalFormatting sqref="F146">
    <cfRule type="cellIs" dxfId="256" priority="256" stopIfTrue="1" operator="lessThan">
      <formula>1</formula>
    </cfRule>
  </conditionalFormatting>
  <conditionalFormatting sqref="F146">
    <cfRule type="cellIs" dxfId="255" priority="255" stopIfTrue="1" operator="lessThan">
      <formula>1</formula>
    </cfRule>
  </conditionalFormatting>
  <conditionalFormatting sqref="F146">
    <cfRule type="cellIs" dxfId="254" priority="254" stopIfTrue="1" operator="lessThan">
      <formula>1</formula>
    </cfRule>
  </conditionalFormatting>
  <conditionalFormatting sqref="D146">
    <cfRule type="cellIs" dxfId="253" priority="259" stopIfTrue="1" operator="greaterThan">
      <formula>#REF!</formula>
    </cfRule>
    <cfRule type="cellIs" dxfId="252" priority="260" stopIfTrue="1" operator="lessThanOrEqual">
      <formula>#REF!</formula>
    </cfRule>
  </conditionalFormatting>
  <conditionalFormatting sqref="F151:F156">
    <cfRule type="cellIs" dxfId="251" priority="253" stopIfTrue="1" operator="lessThan">
      <formula>1</formula>
    </cfRule>
  </conditionalFormatting>
  <conditionalFormatting sqref="F151:F156">
    <cfRule type="cellIs" dxfId="250" priority="252" stopIfTrue="1" operator="lessThan">
      <formula>1</formula>
    </cfRule>
  </conditionalFormatting>
  <conditionalFormatting sqref="F151:F156">
    <cfRule type="cellIs" dxfId="249" priority="251" stopIfTrue="1" operator="lessThan">
      <formula>1</formula>
    </cfRule>
  </conditionalFormatting>
  <conditionalFormatting sqref="F151:F156">
    <cfRule type="cellIs" dxfId="248" priority="250" stopIfTrue="1" operator="lessThan">
      <formula>1</formula>
    </cfRule>
  </conditionalFormatting>
  <conditionalFormatting sqref="F151:F156">
    <cfRule type="cellIs" dxfId="247" priority="249" stopIfTrue="1" operator="lessThan">
      <formula>1</formula>
    </cfRule>
  </conditionalFormatting>
  <conditionalFormatting sqref="F161:F166">
    <cfRule type="cellIs" dxfId="246" priority="248" stopIfTrue="1" operator="lessThan">
      <formula>1</formula>
    </cfRule>
  </conditionalFormatting>
  <conditionalFormatting sqref="F161:F166">
    <cfRule type="cellIs" dxfId="245" priority="247" stopIfTrue="1" operator="lessThan">
      <formula>1</formula>
    </cfRule>
  </conditionalFormatting>
  <conditionalFormatting sqref="F161:F166">
    <cfRule type="cellIs" dxfId="244" priority="246" stopIfTrue="1" operator="lessThan">
      <formula>1</formula>
    </cfRule>
  </conditionalFormatting>
  <conditionalFormatting sqref="F161:F166">
    <cfRule type="cellIs" dxfId="243" priority="245" stopIfTrue="1" operator="lessThan">
      <formula>1</formula>
    </cfRule>
  </conditionalFormatting>
  <conditionalFormatting sqref="F161:F166">
    <cfRule type="cellIs" dxfId="242" priority="244" stopIfTrue="1" operator="lessThan">
      <formula>1</formula>
    </cfRule>
  </conditionalFormatting>
  <conditionalFormatting sqref="D25">
    <cfRule type="cellIs" dxfId="241" priority="242" stopIfTrue="1" operator="greaterThan">
      <formula>#REF!</formula>
    </cfRule>
    <cfRule type="cellIs" dxfId="240" priority="243" stopIfTrue="1" operator="lessThanOrEqual">
      <formula>#REF!</formula>
    </cfRule>
  </conditionalFormatting>
  <conditionalFormatting sqref="D35">
    <cfRule type="cellIs" dxfId="239" priority="240" stopIfTrue="1" operator="greaterThan">
      <formula>#REF!</formula>
    </cfRule>
    <cfRule type="cellIs" dxfId="238" priority="241" stopIfTrue="1" operator="lessThanOrEqual">
      <formula>#REF!</formula>
    </cfRule>
  </conditionalFormatting>
  <conditionalFormatting sqref="D45">
    <cfRule type="cellIs" dxfId="237" priority="238" stopIfTrue="1" operator="greaterThan">
      <formula>#REF!</formula>
    </cfRule>
    <cfRule type="cellIs" dxfId="236" priority="239" stopIfTrue="1" operator="lessThanOrEqual">
      <formula>#REF!</formula>
    </cfRule>
  </conditionalFormatting>
  <conditionalFormatting sqref="D55">
    <cfRule type="cellIs" dxfId="235" priority="236" stopIfTrue="1" operator="greaterThan">
      <formula>#REF!</formula>
    </cfRule>
    <cfRule type="cellIs" dxfId="234" priority="237" stopIfTrue="1" operator="lessThanOrEqual">
      <formula>#REF!</formula>
    </cfRule>
  </conditionalFormatting>
  <conditionalFormatting sqref="D65">
    <cfRule type="cellIs" dxfId="233" priority="234" stopIfTrue="1" operator="greaterThan">
      <formula>#REF!</formula>
    </cfRule>
    <cfRule type="cellIs" dxfId="232" priority="235" stopIfTrue="1" operator="lessThanOrEqual">
      <formula>#REF!</formula>
    </cfRule>
  </conditionalFormatting>
  <conditionalFormatting sqref="D75">
    <cfRule type="cellIs" dxfId="231" priority="232" stopIfTrue="1" operator="greaterThan">
      <formula>#REF!</formula>
    </cfRule>
    <cfRule type="cellIs" dxfId="230" priority="233" stopIfTrue="1" operator="lessThanOrEqual">
      <formula>#REF!</formula>
    </cfRule>
  </conditionalFormatting>
  <conditionalFormatting sqref="F75">
    <cfRule type="cellIs" dxfId="229" priority="227" stopIfTrue="1" operator="lessThan">
      <formula>1</formula>
    </cfRule>
  </conditionalFormatting>
  <conditionalFormatting sqref="F75">
    <cfRule type="cellIs" dxfId="228" priority="231" stopIfTrue="1" operator="lessThan">
      <formula>1</formula>
    </cfRule>
  </conditionalFormatting>
  <conditionalFormatting sqref="F75">
    <cfRule type="cellIs" dxfId="227" priority="230" stopIfTrue="1" operator="lessThan">
      <formula>1</formula>
    </cfRule>
  </conditionalFormatting>
  <conditionalFormatting sqref="F75">
    <cfRule type="cellIs" dxfId="226" priority="229" stopIfTrue="1" operator="lessThan">
      <formula>1</formula>
    </cfRule>
  </conditionalFormatting>
  <conditionalFormatting sqref="F75">
    <cfRule type="cellIs" dxfId="225" priority="228" stopIfTrue="1" operator="lessThan">
      <formula>1</formula>
    </cfRule>
  </conditionalFormatting>
  <conditionalFormatting sqref="F85">
    <cfRule type="cellIs" dxfId="224" priority="222" stopIfTrue="1" operator="lessThan">
      <formula>1</formula>
    </cfRule>
  </conditionalFormatting>
  <conditionalFormatting sqref="F85">
    <cfRule type="cellIs" dxfId="223" priority="226" stopIfTrue="1" operator="lessThan">
      <formula>1</formula>
    </cfRule>
  </conditionalFormatting>
  <conditionalFormatting sqref="F85">
    <cfRule type="cellIs" dxfId="222" priority="225" stopIfTrue="1" operator="lessThan">
      <formula>1</formula>
    </cfRule>
  </conditionalFormatting>
  <conditionalFormatting sqref="F85">
    <cfRule type="cellIs" dxfId="221" priority="224" stopIfTrue="1" operator="lessThan">
      <formula>1</formula>
    </cfRule>
  </conditionalFormatting>
  <conditionalFormatting sqref="F85">
    <cfRule type="cellIs" dxfId="220" priority="223" stopIfTrue="1" operator="lessThan">
      <formula>1</formula>
    </cfRule>
  </conditionalFormatting>
  <conditionalFormatting sqref="D85">
    <cfRule type="cellIs" dxfId="219" priority="220" stopIfTrue="1" operator="greaterThan">
      <formula>#REF!</formula>
    </cfRule>
    <cfRule type="cellIs" dxfId="218" priority="221" stopIfTrue="1" operator="lessThanOrEqual">
      <formula>#REF!</formula>
    </cfRule>
  </conditionalFormatting>
  <conditionalFormatting sqref="F95">
    <cfRule type="cellIs" dxfId="217" priority="215" stopIfTrue="1" operator="lessThan">
      <formula>1</formula>
    </cfRule>
  </conditionalFormatting>
  <conditionalFormatting sqref="F95">
    <cfRule type="cellIs" dxfId="216" priority="219" stopIfTrue="1" operator="lessThan">
      <formula>1</formula>
    </cfRule>
  </conditionalFormatting>
  <conditionalFormatting sqref="F95">
    <cfRule type="cellIs" dxfId="215" priority="218" stopIfTrue="1" operator="lessThan">
      <formula>1</formula>
    </cfRule>
  </conditionalFormatting>
  <conditionalFormatting sqref="F95">
    <cfRule type="cellIs" dxfId="214" priority="217" stopIfTrue="1" operator="lessThan">
      <formula>1</formula>
    </cfRule>
  </conditionalFormatting>
  <conditionalFormatting sqref="F95">
    <cfRule type="cellIs" dxfId="213" priority="216" stopIfTrue="1" operator="lessThan">
      <formula>1</formula>
    </cfRule>
  </conditionalFormatting>
  <conditionalFormatting sqref="D95">
    <cfRule type="cellIs" dxfId="212" priority="213" stopIfTrue="1" operator="greaterThan">
      <formula>#REF!</formula>
    </cfRule>
    <cfRule type="cellIs" dxfId="211" priority="214" stopIfTrue="1" operator="lessThanOrEqual">
      <formula>#REF!</formula>
    </cfRule>
  </conditionalFormatting>
  <conditionalFormatting sqref="D105">
    <cfRule type="cellIs" dxfId="210" priority="211" stopIfTrue="1" operator="greaterThan">
      <formula>#REF!</formula>
    </cfRule>
    <cfRule type="cellIs" dxfId="209" priority="212" stopIfTrue="1" operator="lessThanOrEqual">
      <formula>#REF!</formula>
    </cfRule>
  </conditionalFormatting>
  <conditionalFormatting sqref="D115">
    <cfRule type="cellIs" dxfId="208" priority="209" stopIfTrue="1" operator="greaterThan">
      <formula>#REF!</formula>
    </cfRule>
    <cfRule type="cellIs" dxfId="207" priority="210" stopIfTrue="1" operator="lessThanOrEqual">
      <formula>#REF!</formula>
    </cfRule>
  </conditionalFormatting>
  <conditionalFormatting sqref="F125">
    <cfRule type="cellIs" dxfId="206" priority="204" stopIfTrue="1" operator="lessThan">
      <formula>1</formula>
    </cfRule>
  </conditionalFormatting>
  <conditionalFormatting sqref="F125">
    <cfRule type="cellIs" dxfId="205" priority="208" stopIfTrue="1" operator="lessThan">
      <formula>1</formula>
    </cfRule>
  </conditionalFormatting>
  <conditionalFormatting sqref="F125">
    <cfRule type="cellIs" dxfId="204" priority="207" stopIfTrue="1" operator="lessThan">
      <formula>1</formula>
    </cfRule>
  </conditionalFormatting>
  <conditionalFormatting sqref="F125">
    <cfRule type="cellIs" dxfId="203" priority="206" stopIfTrue="1" operator="lessThan">
      <formula>1</formula>
    </cfRule>
  </conditionalFormatting>
  <conditionalFormatting sqref="F125">
    <cfRule type="cellIs" dxfId="202" priority="205" stopIfTrue="1" operator="lessThan">
      <formula>1</formula>
    </cfRule>
  </conditionalFormatting>
  <conditionalFormatting sqref="D125">
    <cfRule type="cellIs" dxfId="201" priority="202" stopIfTrue="1" operator="greaterThan">
      <formula>#REF!</formula>
    </cfRule>
    <cfRule type="cellIs" dxfId="200" priority="203" stopIfTrue="1" operator="lessThanOrEqual">
      <formula>#REF!</formula>
    </cfRule>
  </conditionalFormatting>
  <conditionalFormatting sqref="D135">
    <cfRule type="cellIs" dxfId="199" priority="200" stopIfTrue="1" operator="greaterThan">
      <formula>#REF!</formula>
    </cfRule>
    <cfRule type="cellIs" dxfId="198" priority="201" stopIfTrue="1" operator="lessThanOrEqual">
      <formula>#REF!</formula>
    </cfRule>
  </conditionalFormatting>
  <conditionalFormatting sqref="F135">
    <cfRule type="cellIs" dxfId="197" priority="195" stopIfTrue="1" operator="lessThan">
      <formula>1</formula>
    </cfRule>
  </conditionalFormatting>
  <conditionalFormatting sqref="F135">
    <cfRule type="cellIs" dxfId="196" priority="199" stopIfTrue="1" operator="lessThan">
      <formula>1</formula>
    </cfRule>
  </conditionalFormatting>
  <conditionalFormatting sqref="F135">
    <cfRule type="cellIs" dxfId="195" priority="198" stopIfTrue="1" operator="lessThan">
      <formula>1</formula>
    </cfRule>
  </conditionalFormatting>
  <conditionalFormatting sqref="F135">
    <cfRule type="cellIs" dxfId="194" priority="197" stopIfTrue="1" operator="lessThan">
      <formula>1</formula>
    </cfRule>
  </conditionalFormatting>
  <conditionalFormatting sqref="F135">
    <cfRule type="cellIs" dxfId="193" priority="196" stopIfTrue="1" operator="lessThan">
      <formula>1</formula>
    </cfRule>
  </conditionalFormatting>
  <conditionalFormatting sqref="D145">
    <cfRule type="cellIs" dxfId="192" priority="193" stopIfTrue="1" operator="greaterThan">
      <formula>#REF!</formula>
    </cfRule>
    <cfRule type="cellIs" dxfId="191" priority="194" stopIfTrue="1" operator="lessThanOrEqual">
      <formula>#REF!</formula>
    </cfRule>
  </conditionalFormatting>
  <conditionalFormatting sqref="F145">
    <cfRule type="cellIs" dxfId="190" priority="188" stopIfTrue="1" operator="lessThan">
      <formula>1</formula>
    </cfRule>
  </conditionalFormatting>
  <conditionalFormatting sqref="F145">
    <cfRule type="cellIs" dxfId="189" priority="192" stopIfTrue="1" operator="lessThan">
      <formula>1</formula>
    </cfRule>
  </conditionalFormatting>
  <conditionalFormatting sqref="F145">
    <cfRule type="cellIs" dxfId="188" priority="191" stopIfTrue="1" operator="lessThan">
      <formula>1</formula>
    </cfRule>
  </conditionalFormatting>
  <conditionalFormatting sqref="F145">
    <cfRule type="cellIs" dxfId="187" priority="190" stopIfTrue="1" operator="lessThan">
      <formula>1</formula>
    </cfRule>
  </conditionalFormatting>
  <conditionalFormatting sqref="F145">
    <cfRule type="cellIs" dxfId="186" priority="189" stopIfTrue="1" operator="lessThan">
      <formula>1</formula>
    </cfRule>
  </conditionalFormatting>
  <conditionalFormatting sqref="E166">
    <cfRule type="cellIs" dxfId="185" priority="186" operator="lessThan">
      <formula>0.75</formula>
    </cfRule>
    <cfRule type="cellIs" dxfId="184" priority="187" operator="greaterThan">
      <formula>0.75</formula>
    </cfRule>
  </conditionalFormatting>
  <conditionalFormatting sqref="E63">
    <cfRule type="cellIs" dxfId="183" priority="182" operator="lessThan">
      <formula>0.2</formula>
    </cfRule>
    <cfRule type="cellIs" dxfId="182" priority="185" operator="greaterThan">
      <formula>0.2</formula>
    </cfRule>
  </conditionalFormatting>
  <conditionalFormatting sqref="E64">
    <cfRule type="cellIs" dxfId="181" priority="183" operator="lessThan">
      <formula>0.3</formula>
    </cfRule>
    <cfRule type="cellIs" dxfId="180" priority="184" operator="greaterThan">
      <formula>0.3</formula>
    </cfRule>
  </conditionalFormatting>
  <conditionalFormatting sqref="E75">
    <cfRule type="cellIs" dxfId="179" priority="180" operator="lessThan">
      <formula>0.5</formula>
    </cfRule>
    <cfRule type="cellIs" dxfId="178" priority="181" operator="greaterThan">
      <formula>0.5</formula>
    </cfRule>
  </conditionalFormatting>
  <conditionalFormatting sqref="E84">
    <cfRule type="cellIs" dxfId="177" priority="174" operator="lessThan">
      <formula>0.3</formula>
    </cfRule>
    <cfRule type="cellIs" dxfId="176" priority="179" operator="greaterThan">
      <formula>0.3</formula>
    </cfRule>
  </conditionalFormatting>
  <conditionalFormatting sqref="E85">
    <cfRule type="cellIs" dxfId="175" priority="175" operator="lessThan">
      <formula>0.5</formula>
    </cfRule>
    <cfRule type="cellIs" dxfId="174" priority="178" operator="greaterThan">
      <formula>0.5</formula>
    </cfRule>
  </conditionalFormatting>
  <conditionalFormatting sqref="E86">
    <cfRule type="cellIs" dxfId="173" priority="176" operator="lessThan">
      <formula>0.75</formula>
    </cfRule>
    <cfRule type="cellIs" dxfId="172" priority="177" operator="greaterThan">
      <formula>0.75</formula>
    </cfRule>
  </conditionalFormatting>
  <conditionalFormatting sqref="E133:E135">
    <cfRule type="cellIs" dxfId="171" priority="173" stopIfTrue="1" operator="lessThan">
      <formula>1</formula>
    </cfRule>
  </conditionalFormatting>
  <conditionalFormatting sqref="E133:E135">
    <cfRule type="cellIs" dxfId="170" priority="172" stopIfTrue="1" operator="lessThan">
      <formula>1</formula>
    </cfRule>
  </conditionalFormatting>
  <conditionalFormatting sqref="E133:E135">
    <cfRule type="cellIs" dxfId="169" priority="169" stopIfTrue="1" operator="lessThan">
      <formula>1</formula>
    </cfRule>
  </conditionalFormatting>
  <conditionalFormatting sqref="E133:E135">
    <cfRule type="cellIs" dxfId="168" priority="171" stopIfTrue="1" operator="lessThan">
      <formula>1</formula>
    </cfRule>
  </conditionalFormatting>
  <conditionalFormatting sqref="E133:E135">
    <cfRule type="cellIs" dxfId="167" priority="170" stopIfTrue="1" operator="lessThan">
      <formula>1</formula>
    </cfRule>
  </conditionalFormatting>
  <conditionalFormatting sqref="E133:E135">
    <cfRule type="cellIs" dxfId="166" priority="168" stopIfTrue="1" operator="lessThan">
      <formula>1</formula>
    </cfRule>
  </conditionalFormatting>
  <conditionalFormatting sqref="E133:E135">
    <cfRule type="cellIs" dxfId="165" priority="167" stopIfTrue="1" operator="lessThan">
      <formula>1</formula>
    </cfRule>
  </conditionalFormatting>
  <conditionalFormatting sqref="E133:E135">
    <cfRule type="cellIs" dxfId="164" priority="164" stopIfTrue="1" operator="lessThan">
      <formula>1</formula>
    </cfRule>
  </conditionalFormatting>
  <conditionalFormatting sqref="E133:E135">
    <cfRule type="cellIs" dxfId="163" priority="166" stopIfTrue="1" operator="lessThan">
      <formula>1</formula>
    </cfRule>
  </conditionalFormatting>
  <conditionalFormatting sqref="E133:E135">
    <cfRule type="cellIs" dxfId="162" priority="165" stopIfTrue="1" operator="lessThan">
      <formula>1</formula>
    </cfRule>
  </conditionalFormatting>
  <conditionalFormatting sqref="E76">
    <cfRule type="cellIs" dxfId="161" priority="162" operator="lessThan">
      <formula>0.75</formula>
    </cfRule>
    <cfRule type="cellIs" dxfId="160" priority="163" operator="greaterThan">
      <formula>0.75</formula>
    </cfRule>
  </conditionalFormatting>
  <conditionalFormatting sqref="E93">
    <cfRule type="cellIs" dxfId="159" priority="160" operator="lessThan">
      <formula>0.2</formula>
    </cfRule>
    <cfRule type="cellIs" dxfId="158" priority="161" operator="greaterThan">
      <formula>0.2</formula>
    </cfRule>
  </conditionalFormatting>
  <conditionalFormatting sqref="E94">
    <cfRule type="cellIs" dxfId="157" priority="158" operator="lessThan">
      <formula>0.5</formula>
    </cfRule>
    <cfRule type="cellIs" dxfId="156" priority="159" operator="greaterThan">
      <formula>0.5</formula>
    </cfRule>
  </conditionalFormatting>
  <conditionalFormatting sqref="E106">
    <cfRule type="cellIs" dxfId="155" priority="156" operator="lessThan">
      <formula>0.75</formula>
    </cfRule>
    <cfRule type="cellIs" dxfId="154" priority="157" operator="greaterThan">
      <formula>0.75</formula>
    </cfRule>
  </conditionalFormatting>
  <conditionalFormatting sqref="E122">
    <cfRule type="cellIs" dxfId="153" priority="154" operator="lessThan">
      <formula>0.1</formula>
    </cfRule>
    <cfRule type="cellIs" dxfId="152" priority="155" operator="greaterThan">
      <formula>0.1</formula>
    </cfRule>
  </conditionalFormatting>
  <conditionalFormatting sqref="E123">
    <cfRule type="cellIs" dxfId="151" priority="152" operator="lessThan">
      <formula>0.2</formula>
    </cfRule>
    <cfRule type="cellIs" dxfId="150" priority="153" operator="greaterThan">
      <formula>0.2</formula>
    </cfRule>
  </conditionalFormatting>
  <conditionalFormatting sqref="E125">
    <cfRule type="cellIs" dxfId="149" priority="150" operator="lessThan">
      <formula>0.5</formula>
    </cfRule>
    <cfRule type="cellIs" dxfId="148" priority="151" operator="greaterThan">
      <formula>0.5</formula>
    </cfRule>
  </conditionalFormatting>
  <conditionalFormatting sqref="E126">
    <cfRule type="cellIs" dxfId="147" priority="148" operator="lessThan">
      <formula>0.75</formula>
    </cfRule>
    <cfRule type="cellIs" dxfId="146" priority="149" operator="greaterThan">
      <formula>0.75</formula>
    </cfRule>
  </conditionalFormatting>
  <conditionalFormatting sqref="E133:E136">
    <cfRule type="cellIs" dxfId="145" priority="146" operator="lessThan">
      <formula>0.75</formula>
    </cfRule>
    <cfRule type="cellIs" dxfId="144" priority="147" operator="greaterThan">
      <formula>0.75</formula>
    </cfRule>
  </conditionalFormatting>
  <conditionalFormatting sqref="E95:E96">
    <cfRule type="cellIs" dxfId="143" priority="144" operator="lessThan">
      <formula>0.5</formula>
    </cfRule>
    <cfRule type="cellIs" dxfId="142" priority="145" operator="greaterThan">
      <formula>0.5</formula>
    </cfRule>
  </conditionalFormatting>
  <conditionalFormatting sqref="F170:F175">
    <cfRule type="cellIs" dxfId="141" priority="143" stopIfTrue="1" operator="lessThan">
      <formula>1</formula>
    </cfRule>
  </conditionalFormatting>
  <conditionalFormatting sqref="F170:F175">
    <cfRule type="cellIs" dxfId="140" priority="142" stopIfTrue="1" operator="lessThan">
      <formula>1</formula>
    </cfRule>
  </conditionalFormatting>
  <conditionalFormatting sqref="F170:F175">
    <cfRule type="cellIs" dxfId="139" priority="141" stopIfTrue="1" operator="lessThan">
      <formula>1</formula>
    </cfRule>
  </conditionalFormatting>
  <conditionalFormatting sqref="F170:F175">
    <cfRule type="cellIs" dxfId="138" priority="140" stopIfTrue="1" operator="lessThan">
      <formula>1</formula>
    </cfRule>
  </conditionalFormatting>
  <conditionalFormatting sqref="F170:F175">
    <cfRule type="cellIs" dxfId="137" priority="139" stopIfTrue="1" operator="lessThan">
      <formula>1</formula>
    </cfRule>
  </conditionalFormatting>
  <conditionalFormatting sqref="E65">
    <cfRule type="cellIs" dxfId="136" priority="137" operator="lessThan">
      <formula>0.3</formula>
    </cfRule>
    <cfRule type="cellIs" dxfId="135" priority="138" operator="greaterThan">
      <formula>0.3</formula>
    </cfRule>
  </conditionalFormatting>
  <conditionalFormatting sqref="F179:F184">
    <cfRule type="cellIs" dxfId="134" priority="136" stopIfTrue="1" operator="lessThan">
      <formula>1</formula>
    </cfRule>
  </conditionalFormatting>
  <conditionalFormatting sqref="F179:F184">
    <cfRule type="cellIs" dxfId="133" priority="135" stopIfTrue="1" operator="lessThan">
      <formula>1</formula>
    </cfRule>
  </conditionalFormatting>
  <conditionalFormatting sqref="F179:F184">
    <cfRule type="cellIs" dxfId="132" priority="134" stopIfTrue="1" operator="lessThan">
      <formula>1</formula>
    </cfRule>
  </conditionalFormatting>
  <conditionalFormatting sqref="F179:F184">
    <cfRule type="cellIs" dxfId="131" priority="133" stopIfTrue="1" operator="lessThan">
      <formula>1</formula>
    </cfRule>
  </conditionalFormatting>
  <conditionalFormatting sqref="F179:F184">
    <cfRule type="cellIs" dxfId="130" priority="132" stopIfTrue="1" operator="lessThan">
      <formula>1</formula>
    </cfRule>
  </conditionalFormatting>
  <conditionalFormatting sqref="F188:F193">
    <cfRule type="cellIs" dxfId="129" priority="131" stopIfTrue="1" operator="lessThan">
      <formula>1</formula>
    </cfRule>
  </conditionalFormatting>
  <conditionalFormatting sqref="F188:F193">
    <cfRule type="cellIs" dxfId="128" priority="130" stopIfTrue="1" operator="lessThan">
      <formula>1</formula>
    </cfRule>
  </conditionalFormatting>
  <conditionalFormatting sqref="F188:F193">
    <cfRule type="cellIs" dxfId="127" priority="129" stopIfTrue="1" operator="lessThan">
      <formula>1</formula>
    </cfRule>
  </conditionalFormatting>
  <conditionalFormatting sqref="F188:F193">
    <cfRule type="cellIs" dxfId="126" priority="128" stopIfTrue="1" operator="lessThan">
      <formula>1</formula>
    </cfRule>
  </conditionalFormatting>
  <conditionalFormatting sqref="F188:F193">
    <cfRule type="cellIs" dxfId="125" priority="127" stopIfTrue="1" operator="lessThan">
      <formula>1</formula>
    </cfRule>
  </conditionalFormatting>
  <conditionalFormatting sqref="F197:F202">
    <cfRule type="cellIs" dxfId="124" priority="126" stopIfTrue="1" operator="lessThan">
      <formula>1</formula>
    </cfRule>
  </conditionalFormatting>
  <conditionalFormatting sqref="F197:F202">
    <cfRule type="cellIs" dxfId="123" priority="125" stopIfTrue="1" operator="lessThan">
      <formula>1</formula>
    </cfRule>
  </conditionalFormatting>
  <conditionalFormatting sqref="F197:F202">
    <cfRule type="cellIs" dxfId="122" priority="124" stopIfTrue="1" operator="lessThan">
      <formula>1</formula>
    </cfRule>
  </conditionalFormatting>
  <conditionalFormatting sqref="F197:F202">
    <cfRule type="cellIs" dxfId="121" priority="123" stopIfTrue="1" operator="lessThan">
      <formula>1</formula>
    </cfRule>
  </conditionalFormatting>
  <conditionalFormatting sqref="F197:F202">
    <cfRule type="cellIs" dxfId="120" priority="122" stopIfTrue="1" operator="lessThan">
      <formula>1</formula>
    </cfRule>
  </conditionalFormatting>
  <conditionalFormatting sqref="F206:F211">
    <cfRule type="cellIs" dxfId="119" priority="121" stopIfTrue="1" operator="lessThan">
      <formula>1</formula>
    </cfRule>
  </conditionalFormatting>
  <conditionalFormatting sqref="F206:F211">
    <cfRule type="cellIs" dxfId="118" priority="120" stopIfTrue="1" operator="lessThan">
      <formula>1</formula>
    </cfRule>
  </conditionalFormatting>
  <conditionalFormatting sqref="F206:F211">
    <cfRule type="cellIs" dxfId="117" priority="119" stopIfTrue="1" operator="lessThan">
      <formula>1</formula>
    </cfRule>
  </conditionalFormatting>
  <conditionalFormatting sqref="F206:F211">
    <cfRule type="cellIs" dxfId="116" priority="118" stopIfTrue="1" operator="lessThan">
      <formula>1</formula>
    </cfRule>
  </conditionalFormatting>
  <conditionalFormatting sqref="F206:F211">
    <cfRule type="cellIs" dxfId="115" priority="117" stopIfTrue="1" operator="lessThan">
      <formula>1</formula>
    </cfRule>
  </conditionalFormatting>
  <conditionalFormatting sqref="F215:F220">
    <cfRule type="cellIs" dxfId="114" priority="116" stopIfTrue="1" operator="lessThan">
      <formula>1</formula>
    </cfRule>
  </conditionalFormatting>
  <conditionalFormatting sqref="F215:F220">
    <cfRule type="cellIs" dxfId="113" priority="115" stopIfTrue="1" operator="lessThan">
      <formula>1</formula>
    </cfRule>
  </conditionalFormatting>
  <conditionalFormatting sqref="F215:F220">
    <cfRule type="cellIs" dxfId="112" priority="114" stopIfTrue="1" operator="lessThan">
      <formula>1</formula>
    </cfRule>
  </conditionalFormatting>
  <conditionalFormatting sqref="F215:F220">
    <cfRule type="cellIs" dxfId="111" priority="113" stopIfTrue="1" operator="lessThan">
      <formula>1</formula>
    </cfRule>
  </conditionalFormatting>
  <conditionalFormatting sqref="F215:F220">
    <cfRule type="cellIs" dxfId="110" priority="112" stopIfTrue="1" operator="lessThan">
      <formula>1</formula>
    </cfRule>
  </conditionalFormatting>
  <conditionalFormatting sqref="F224:F229">
    <cfRule type="cellIs" dxfId="109" priority="111" stopIfTrue="1" operator="lessThan">
      <formula>1</formula>
    </cfRule>
  </conditionalFormatting>
  <conditionalFormatting sqref="F224:F229">
    <cfRule type="cellIs" dxfId="108" priority="110" stopIfTrue="1" operator="lessThan">
      <formula>1</formula>
    </cfRule>
  </conditionalFormatting>
  <conditionalFormatting sqref="F224:F229">
    <cfRule type="cellIs" dxfId="107" priority="109" stopIfTrue="1" operator="lessThan">
      <formula>1</formula>
    </cfRule>
  </conditionalFormatting>
  <conditionalFormatting sqref="F224:F229">
    <cfRule type="cellIs" dxfId="106" priority="108" stopIfTrue="1" operator="lessThan">
      <formula>1</formula>
    </cfRule>
  </conditionalFormatting>
  <conditionalFormatting sqref="F224:F229">
    <cfRule type="cellIs" dxfId="105" priority="107" stopIfTrue="1" operator="lessThan">
      <formula>1</formula>
    </cfRule>
  </conditionalFormatting>
  <conditionalFormatting sqref="F233:F237">
    <cfRule type="cellIs" dxfId="104" priority="106" stopIfTrue="1" operator="lessThan">
      <formula>1</formula>
    </cfRule>
  </conditionalFormatting>
  <conditionalFormatting sqref="F233:F237">
    <cfRule type="cellIs" dxfId="103" priority="105" stopIfTrue="1" operator="lessThan">
      <formula>1</formula>
    </cfRule>
  </conditionalFormatting>
  <conditionalFormatting sqref="F233:F237">
    <cfRule type="cellIs" dxfId="102" priority="104" stopIfTrue="1" operator="lessThan">
      <formula>1</formula>
    </cfRule>
  </conditionalFormatting>
  <conditionalFormatting sqref="F233:F237">
    <cfRule type="cellIs" dxfId="101" priority="103" stopIfTrue="1" operator="lessThan">
      <formula>1</formula>
    </cfRule>
  </conditionalFormatting>
  <conditionalFormatting sqref="F233:F237">
    <cfRule type="cellIs" dxfId="100" priority="102" stopIfTrue="1" operator="lessThan">
      <formula>1</formula>
    </cfRule>
  </conditionalFormatting>
  <conditionalFormatting sqref="F242:F247">
    <cfRule type="cellIs" dxfId="99" priority="101" stopIfTrue="1" operator="lessThan">
      <formula>1</formula>
    </cfRule>
  </conditionalFormatting>
  <conditionalFormatting sqref="F242:F247">
    <cfRule type="cellIs" dxfId="98" priority="100" stopIfTrue="1" operator="lessThan">
      <formula>1</formula>
    </cfRule>
  </conditionalFormatting>
  <conditionalFormatting sqref="F242:F247">
    <cfRule type="cellIs" dxfId="97" priority="99" stopIfTrue="1" operator="lessThan">
      <formula>1</formula>
    </cfRule>
  </conditionalFormatting>
  <conditionalFormatting sqref="F242:F247">
    <cfRule type="cellIs" dxfId="96" priority="98" stopIfTrue="1" operator="lessThan">
      <formula>1</formula>
    </cfRule>
  </conditionalFormatting>
  <conditionalFormatting sqref="F242:F247">
    <cfRule type="cellIs" dxfId="95" priority="97" stopIfTrue="1" operator="lessThan">
      <formula>1</formula>
    </cfRule>
  </conditionalFormatting>
  <conditionalFormatting sqref="F251:F256">
    <cfRule type="cellIs" dxfId="94" priority="96" stopIfTrue="1" operator="lessThan">
      <formula>1</formula>
    </cfRule>
  </conditionalFormatting>
  <conditionalFormatting sqref="F251:F256">
    <cfRule type="cellIs" dxfId="93" priority="95" stopIfTrue="1" operator="lessThan">
      <formula>1</formula>
    </cfRule>
  </conditionalFormatting>
  <conditionalFormatting sqref="F251:F256">
    <cfRule type="cellIs" dxfId="92" priority="94" stopIfTrue="1" operator="lessThan">
      <formula>1</formula>
    </cfRule>
  </conditionalFormatting>
  <conditionalFormatting sqref="F251:F256">
    <cfRule type="cellIs" dxfId="91" priority="93" stopIfTrue="1" operator="lessThan">
      <formula>1</formula>
    </cfRule>
  </conditionalFormatting>
  <conditionalFormatting sqref="F251:F256">
    <cfRule type="cellIs" dxfId="90" priority="92" stopIfTrue="1" operator="lessThan">
      <formula>1</formula>
    </cfRule>
  </conditionalFormatting>
  <conditionalFormatting sqref="E105">
    <cfRule type="cellIs" dxfId="89" priority="90" operator="lessThan">
      <formula>0.75</formula>
    </cfRule>
    <cfRule type="cellIs" dxfId="88" priority="91" operator="greaterThan">
      <formula>0.75</formula>
    </cfRule>
  </conditionalFormatting>
  <conditionalFormatting sqref="E104">
    <cfRule type="cellIs" dxfId="87" priority="88" operator="lessThan">
      <formula>0.75</formula>
    </cfRule>
    <cfRule type="cellIs" dxfId="86" priority="89" operator="greaterThan">
      <formula>0.75</formula>
    </cfRule>
  </conditionalFormatting>
  <conditionalFormatting sqref="F16">
    <cfRule type="cellIs" dxfId="85" priority="87" stopIfTrue="1" operator="lessThan">
      <formula>1</formula>
    </cfRule>
  </conditionalFormatting>
  <conditionalFormatting sqref="F16">
    <cfRule type="cellIs" dxfId="84" priority="86" stopIfTrue="1" operator="lessThan">
      <formula>1</formula>
    </cfRule>
  </conditionalFormatting>
  <conditionalFormatting sqref="F16">
    <cfRule type="cellIs" dxfId="83" priority="85" stopIfTrue="1" operator="lessThan">
      <formula>1</formula>
    </cfRule>
  </conditionalFormatting>
  <conditionalFormatting sqref="F16">
    <cfRule type="cellIs" dxfId="82" priority="84" stopIfTrue="1" operator="lessThan">
      <formula>1</formula>
    </cfRule>
  </conditionalFormatting>
  <conditionalFormatting sqref="F16">
    <cfRule type="cellIs" dxfId="81" priority="83" stopIfTrue="1" operator="lessThan">
      <formula>1</formula>
    </cfRule>
  </conditionalFormatting>
  <conditionalFormatting sqref="F16">
    <cfRule type="cellIs" dxfId="80" priority="80" stopIfTrue="1" operator="lessThan">
      <formula>1</formula>
    </cfRule>
  </conditionalFormatting>
  <conditionalFormatting sqref="F16">
    <cfRule type="cellIs" dxfId="79" priority="79" stopIfTrue="1" operator="lessThan">
      <formula>1</formula>
    </cfRule>
  </conditionalFormatting>
  <conditionalFormatting sqref="F16">
    <cfRule type="cellIs" dxfId="78" priority="78" stopIfTrue="1" operator="lessThan">
      <formula>1</formula>
    </cfRule>
  </conditionalFormatting>
  <conditionalFormatting sqref="F16">
    <cfRule type="cellIs" dxfId="77" priority="82" stopIfTrue="1" operator="lessThan">
      <formula>1</formula>
    </cfRule>
  </conditionalFormatting>
  <conditionalFormatting sqref="F16">
    <cfRule type="cellIs" dxfId="76" priority="81" stopIfTrue="1" operator="lessThan">
      <formula>1</formula>
    </cfRule>
  </conditionalFormatting>
  <conditionalFormatting sqref="F16">
    <cfRule type="cellIs" dxfId="75" priority="77" stopIfTrue="1" operator="lessThan">
      <formula>1</formula>
    </cfRule>
  </conditionalFormatting>
  <conditionalFormatting sqref="F16">
    <cfRule type="cellIs" dxfId="74" priority="76" stopIfTrue="1" operator="lessThan">
      <formula>1</formula>
    </cfRule>
  </conditionalFormatting>
  <conditionalFormatting sqref="F16">
    <cfRule type="cellIs" dxfId="73" priority="75" stopIfTrue="1" operator="lessThan">
      <formula>1</formula>
    </cfRule>
  </conditionalFormatting>
  <conditionalFormatting sqref="F16">
    <cfRule type="cellIs" dxfId="72" priority="74" stopIfTrue="1" operator="lessThan">
      <formula>1</formula>
    </cfRule>
  </conditionalFormatting>
  <conditionalFormatting sqref="F16">
    <cfRule type="cellIs" dxfId="71" priority="73" stopIfTrue="1" operator="lessThan">
      <formula>1</formula>
    </cfRule>
  </conditionalFormatting>
  <conditionalFormatting sqref="F11:F15">
    <cfRule type="cellIs" dxfId="70" priority="70" stopIfTrue="1" operator="lessThan">
      <formula>1</formula>
    </cfRule>
  </conditionalFormatting>
  <conditionalFormatting sqref="F11:F15">
    <cfRule type="cellIs" dxfId="69" priority="69" stopIfTrue="1" operator="lessThan">
      <formula>1</formula>
    </cfRule>
  </conditionalFormatting>
  <conditionalFormatting sqref="F11:F15">
    <cfRule type="cellIs" dxfId="68" priority="68" stopIfTrue="1" operator="lessThan">
      <formula>1</formula>
    </cfRule>
  </conditionalFormatting>
  <conditionalFormatting sqref="F11:F15">
    <cfRule type="cellIs" dxfId="67" priority="72" stopIfTrue="1" operator="lessThan">
      <formula>1</formula>
    </cfRule>
  </conditionalFormatting>
  <conditionalFormatting sqref="F11:F15">
    <cfRule type="cellIs" dxfId="66" priority="71" stopIfTrue="1" operator="lessThan">
      <formula>1</formula>
    </cfRule>
  </conditionalFormatting>
  <conditionalFormatting sqref="F25">
    <cfRule type="cellIs" dxfId="65" priority="67" stopIfTrue="1" operator="lessThan">
      <formula>1</formula>
    </cfRule>
  </conditionalFormatting>
  <conditionalFormatting sqref="F25">
    <cfRule type="cellIs" dxfId="64" priority="66" stopIfTrue="1" operator="lessThan">
      <formula>1</formula>
    </cfRule>
  </conditionalFormatting>
  <conditionalFormatting sqref="F25">
    <cfRule type="cellIs" dxfId="63" priority="65" stopIfTrue="1" operator="lessThan">
      <formula>1</formula>
    </cfRule>
  </conditionalFormatting>
  <conditionalFormatting sqref="F25">
    <cfRule type="cellIs" dxfId="62" priority="64" stopIfTrue="1" operator="lessThan">
      <formula>1</formula>
    </cfRule>
  </conditionalFormatting>
  <conditionalFormatting sqref="F25">
    <cfRule type="cellIs" dxfId="61" priority="63" stopIfTrue="1" operator="lessThan">
      <formula>1</formula>
    </cfRule>
  </conditionalFormatting>
  <conditionalFormatting sqref="F260:F265">
    <cfRule type="cellIs" dxfId="60" priority="62" stopIfTrue="1" operator="lessThan">
      <formula>1</formula>
    </cfRule>
  </conditionalFormatting>
  <conditionalFormatting sqref="F260:F265">
    <cfRule type="cellIs" dxfId="59" priority="61" stopIfTrue="1" operator="lessThan">
      <formula>1</formula>
    </cfRule>
  </conditionalFormatting>
  <conditionalFormatting sqref="F260:F265">
    <cfRule type="cellIs" dxfId="58" priority="60" stopIfTrue="1" operator="lessThan">
      <formula>1</formula>
    </cfRule>
  </conditionalFormatting>
  <conditionalFormatting sqref="F260:F265">
    <cfRule type="cellIs" dxfId="57" priority="59" stopIfTrue="1" operator="lessThan">
      <formula>1</formula>
    </cfRule>
  </conditionalFormatting>
  <conditionalFormatting sqref="F260:F265">
    <cfRule type="cellIs" dxfId="56" priority="58" stopIfTrue="1" operator="lessThan">
      <formula>1</formula>
    </cfRule>
  </conditionalFormatting>
  <conditionalFormatting sqref="F269:F274">
    <cfRule type="cellIs" dxfId="55" priority="57" stopIfTrue="1" operator="lessThan">
      <formula>1</formula>
    </cfRule>
  </conditionalFormatting>
  <conditionalFormatting sqref="F269:F274">
    <cfRule type="cellIs" dxfId="54" priority="56" stopIfTrue="1" operator="lessThan">
      <formula>1</formula>
    </cfRule>
  </conditionalFormatting>
  <conditionalFormatting sqref="F269:F274">
    <cfRule type="cellIs" dxfId="53" priority="55" stopIfTrue="1" operator="lessThan">
      <formula>1</formula>
    </cfRule>
  </conditionalFormatting>
  <conditionalFormatting sqref="F269:F274">
    <cfRule type="cellIs" dxfId="52" priority="54" stopIfTrue="1" operator="lessThan">
      <formula>1</formula>
    </cfRule>
  </conditionalFormatting>
  <conditionalFormatting sqref="F269:F274">
    <cfRule type="cellIs" dxfId="51" priority="53" stopIfTrue="1" operator="lessThan">
      <formula>1</formula>
    </cfRule>
  </conditionalFormatting>
  <conditionalFormatting sqref="F278:F283">
    <cfRule type="cellIs" dxfId="50" priority="52" stopIfTrue="1" operator="lessThan">
      <formula>1</formula>
    </cfRule>
  </conditionalFormatting>
  <conditionalFormatting sqref="F278:F283">
    <cfRule type="cellIs" dxfId="49" priority="51" stopIfTrue="1" operator="lessThan">
      <formula>1</formula>
    </cfRule>
  </conditionalFormatting>
  <conditionalFormatting sqref="F278:F283">
    <cfRule type="cellIs" dxfId="48" priority="50" stopIfTrue="1" operator="lessThan">
      <formula>1</formula>
    </cfRule>
  </conditionalFormatting>
  <conditionalFormatting sqref="F278:F283">
    <cfRule type="cellIs" dxfId="47" priority="49" stopIfTrue="1" operator="lessThan">
      <formula>1</formula>
    </cfRule>
  </conditionalFormatting>
  <conditionalFormatting sqref="F278:F283">
    <cfRule type="cellIs" dxfId="46" priority="48" stopIfTrue="1" operator="lessThan">
      <formula>1</formula>
    </cfRule>
  </conditionalFormatting>
  <conditionalFormatting sqref="F287:F292">
    <cfRule type="cellIs" dxfId="45" priority="47" stopIfTrue="1" operator="lessThan">
      <formula>1</formula>
    </cfRule>
  </conditionalFormatting>
  <conditionalFormatting sqref="F287:F292">
    <cfRule type="cellIs" dxfId="44" priority="46" stopIfTrue="1" operator="lessThan">
      <formula>1</formula>
    </cfRule>
  </conditionalFormatting>
  <conditionalFormatting sqref="F287:F292">
    <cfRule type="cellIs" dxfId="43" priority="45" stopIfTrue="1" operator="lessThan">
      <formula>1</formula>
    </cfRule>
  </conditionalFormatting>
  <conditionalFormatting sqref="F287:F292">
    <cfRule type="cellIs" dxfId="42" priority="44" stopIfTrue="1" operator="lessThan">
      <formula>1</formula>
    </cfRule>
  </conditionalFormatting>
  <conditionalFormatting sqref="F287:F292">
    <cfRule type="cellIs" dxfId="41" priority="43" stopIfTrue="1" operator="lessThan">
      <formula>1</formula>
    </cfRule>
  </conditionalFormatting>
  <conditionalFormatting sqref="F296:F301">
    <cfRule type="cellIs" dxfId="40" priority="42" stopIfTrue="1" operator="lessThan">
      <formula>1</formula>
    </cfRule>
  </conditionalFormatting>
  <conditionalFormatting sqref="F296:F301">
    <cfRule type="cellIs" dxfId="39" priority="41" stopIfTrue="1" operator="lessThan">
      <formula>1</formula>
    </cfRule>
  </conditionalFormatting>
  <conditionalFormatting sqref="F296:F301">
    <cfRule type="cellIs" dxfId="38" priority="40" stopIfTrue="1" operator="lessThan">
      <formula>1</formula>
    </cfRule>
  </conditionalFormatting>
  <conditionalFormatting sqref="F296:F301">
    <cfRule type="cellIs" dxfId="37" priority="39" stopIfTrue="1" operator="lessThan">
      <formula>1</formula>
    </cfRule>
  </conditionalFormatting>
  <conditionalFormatting sqref="F296:F301">
    <cfRule type="cellIs" dxfId="36" priority="38" stopIfTrue="1" operator="lessThan">
      <formula>1</formula>
    </cfRule>
  </conditionalFormatting>
  <conditionalFormatting sqref="F31:F36">
    <cfRule type="cellIs" dxfId="35" priority="37" stopIfTrue="1" operator="lessThan">
      <formula>1</formula>
    </cfRule>
  </conditionalFormatting>
  <conditionalFormatting sqref="F31:F36">
    <cfRule type="cellIs" dxfId="34" priority="36" stopIfTrue="1" operator="lessThan">
      <formula>1</formula>
    </cfRule>
  </conditionalFormatting>
  <conditionalFormatting sqref="F31:F36">
    <cfRule type="cellIs" dxfId="33" priority="35" stopIfTrue="1" operator="lessThan">
      <formula>1</formula>
    </cfRule>
  </conditionalFormatting>
  <conditionalFormatting sqref="F31:F36">
    <cfRule type="cellIs" dxfId="32" priority="34" stopIfTrue="1" operator="lessThan">
      <formula>1</formula>
    </cfRule>
  </conditionalFormatting>
  <conditionalFormatting sqref="F31:F36">
    <cfRule type="cellIs" dxfId="31" priority="33" stopIfTrue="1" operator="lessThan">
      <formula>1</formula>
    </cfRule>
  </conditionalFormatting>
  <conditionalFormatting sqref="F41">
    <cfRule type="cellIs" dxfId="30" priority="32" stopIfTrue="1" operator="lessThan">
      <formula>1</formula>
    </cfRule>
  </conditionalFormatting>
  <conditionalFormatting sqref="F41">
    <cfRule type="cellIs" dxfId="29" priority="31" stopIfTrue="1" operator="lessThan">
      <formula>1</formula>
    </cfRule>
  </conditionalFormatting>
  <conditionalFormatting sqref="F41">
    <cfRule type="cellIs" dxfId="28" priority="30" stopIfTrue="1" operator="lessThan">
      <formula>1</formula>
    </cfRule>
  </conditionalFormatting>
  <conditionalFormatting sqref="F41">
    <cfRule type="cellIs" dxfId="27" priority="29" stopIfTrue="1" operator="lessThan">
      <formula>1</formula>
    </cfRule>
  </conditionalFormatting>
  <conditionalFormatting sqref="F41">
    <cfRule type="cellIs" dxfId="26" priority="28" stopIfTrue="1" operator="lessThan">
      <formula>1</formula>
    </cfRule>
  </conditionalFormatting>
  <conditionalFormatting sqref="F42:F46">
    <cfRule type="cellIs" dxfId="25" priority="27" stopIfTrue="1" operator="lessThan">
      <formula>1</formula>
    </cfRule>
  </conditionalFormatting>
  <conditionalFormatting sqref="F42:F46">
    <cfRule type="cellIs" dxfId="24" priority="26" stopIfTrue="1" operator="lessThan">
      <formula>1</formula>
    </cfRule>
  </conditionalFormatting>
  <conditionalFormatting sqref="F42:F46">
    <cfRule type="cellIs" dxfId="23" priority="25" stopIfTrue="1" operator="lessThan">
      <formula>1</formula>
    </cfRule>
  </conditionalFormatting>
  <conditionalFormatting sqref="F42:F46">
    <cfRule type="cellIs" dxfId="22" priority="24" stopIfTrue="1" operator="lessThan">
      <formula>1</formula>
    </cfRule>
  </conditionalFormatting>
  <conditionalFormatting sqref="F42:F46">
    <cfRule type="cellIs" dxfId="21" priority="23" stopIfTrue="1" operator="lessThan">
      <formula>1</formula>
    </cfRule>
  </conditionalFormatting>
  <conditionalFormatting sqref="F51:F56">
    <cfRule type="cellIs" dxfId="20" priority="22" stopIfTrue="1" operator="lessThan">
      <formula>1</formula>
    </cfRule>
  </conditionalFormatting>
  <conditionalFormatting sqref="F51:F56">
    <cfRule type="cellIs" dxfId="19" priority="21" stopIfTrue="1" operator="lessThan">
      <formula>1</formula>
    </cfRule>
  </conditionalFormatting>
  <conditionalFormatting sqref="F51:F56">
    <cfRule type="cellIs" dxfId="18" priority="20" stopIfTrue="1" operator="lessThan">
      <formula>1</formula>
    </cfRule>
  </conditionalFormatting>
  <conditionalFormatting sqref="F51:F56">
    <cfRule type="cellIs" dxfId="17" priority="19" stopIfTrue="1" operator="lessThan">
      <formula>1</formula>
    </cfRule>
  </conditionalFormatting>
  <conditionalFormatting sqref="F51:F56">
    <cfRule type="cellIs" dxfId="16" priority="18" stopIfTrue="1" operator="lessThan">
      <formula>1</formula>
    </cfRule>
  </conditionalFormatting>
  <conditionalFormatting sqref="F61:F66">
    <cfRule type="cellIs" dxfId="15" priority="17" stopIfTrue="1" operator="lessThan">
      <formula>1</formula>
    </cfRule>
  </conditionalFormatting>
  <conditionalFormatting sqref="F61:F66">
    <cfRule type="cellIs" dxfId="14" priority="16" stopIfTrue="1" operator="lessThan">
      <formula>1</formula>
    </cfRule>
  </conditionalFormatting>
  <conditionalFormatting sqref="F61:F66">
    <cfRule type="cellIs" dxfId="13" priority="15" stopIfTrue="1" operator="lessThan">
      <formula>1</formula>
    </cfRule>
  </conditionalFormatting>
  <conditionalFormatting sqref="F61:F66">
    <cfRule type="cellIs" dxfId="12" priority="14" stopIfTrue="1" operator="lessThan">
      <formula>1</formula>
    </cfRule>
  </conditionalFormatting>
  <conditionalFormatting sqref="F61:F66">
    <cfRule type="cellIs" dxfId="11" priority="13" stopIfTrue="1" operator="lessThan">
      <formula>1</formula>
    </cfRule>
  </conditionalFormatting>
  <conditionalFormatting sqref="F111:F116">
    <cfRule type="cellIs" dxfId="10" priority="12" stopIfTrue="1" operator="lessThan">
      <formula>1</formula>
    </cfRule>
  </conditionalFormatting>
  <conditionalFormatting sqref="F111:F116">
    <cfRule type="cellIs" dxfId="9" priority="11" stopIfTrue="1" operator="lessThan">
      <formula>1</formula>
    </cfRule>
  </conditionalFormatting>
  <conditionalFormatting sqref="F111:F116">
    <cfRule type="cellIs" dxfId="8" priority="10" stopIfTrue="1" operator="lessThan">
      <formula>1</formula>
    </cfRule>
  </conditionalFormatting>
  <conditionalFormatting sqref="F111:F116">
    <cfRule type="cellIs" dxfId="7" priority="9" stopIfTrue="1" operator="lessThan">
      <formula>1</formula>
    </cfRule>
  </conditionalFormatting>
  <conditionalFormatting sqref="F111:F116">
    <cfRule type="cellIs" dxfId="6" priority="8" stopIfTrue="1" operator="lessThan">
      <formula>1</formula>
    </cfRule>
  </conditionalFormatting>
  <conditionalFormatting sqref="F101:F106">
    <cfRule type="cellIs" dxfId="5" priority="7" stopIfTrue="1" operator="lessThan">
      <formula>1</formula>
    </cfRule>
  </conditionalFormatting>
  <conditionalFormatting sqref="F101:F106">
    <cfRule type="cellIs" dxfId="4" priority="6" stopIfTrue="1" operator="lessThan">
      <formula>1</formula>
    </cfRule>
  </conditionalFormatting>
  <conditionalFormatting sqref="F101:F106">
    <cfRule type="cellIs" dxfId="3" priority="5" stopIfTrue="1" operator="lessThan">
      <formula>1</formula>
    </cfRule>
  </conditionalFormatting>
  <conditionalFormatting sqref="F101:F106">
    <cfRule type="cellIs" dxfId="2" priority="4" stopIfTrue="1" operator="lessThan">
      <formula>1</formula>
    </cfRule>
  </conditionalFormatting>
  <conditionalFormatting sqref="F101:F106">
    <cfRule type="cellIs" dxfId="1" priority="3" stopIfTrue="1" operator="lessThan">
      <formula>1</formula>
    </cfRule>
  </conditionalFormatting>
  <conditionalFormatting sqref="O1:O10 O12:O1048576">
    <cfRule type="cellIs" priority="2" operator="greaterThan">
      <formula>0.2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J33"/>
  <sheetViews>
    <sheetView zoomScale="90" zoomScaleNormal="100" workbookViewId="0">
      <selection activeCell="C5" sqref="C5:J34"/>
    </sheetView>
  </sheetViews>
  <sheetFormatPr defaultColWidth="8.6328125" defaultRowHeight="12.5"/>
  <cols>
    <col min="1" max="1" width="2.6328125" style="9" customWidth="1"/>
    <col min="2" max="2" width="41.36328125" style="9" customWidth="1"/>
    <col min="3" max="4" width="7.6328125" style="15" customWidth="1"/>
    <col min="5" max="9" width="7.6328125" style="16" customWidth="1"/>
    <col min="10" max="10" width="7.6328125" style="15" customWidth="1"/>
    <col min="11" max="16384" width="8.6328125" style="9"/>
  </cols>
  <sheetData>
    <row r="1" spans="1:10" s="5" customFormat="1" ht="15" customHeight="1">
      <c r="A1" s="3"/>
      <c r="B1" s="4" t="s">
        <v>11</v>
      </c>
      <c r="C1" s="3"/>
      <c r="D1" s="3"/>
      <c r="E1" s="3"/>
      <c r="F1" s="3"/>
      <c r="G1" s="3"/>
      <c r="H1" s="3"/>
      <c r="I1" s="3"/>
      <c r="J1" s="3"/>
    </row>
    <row r="2" spans="1:10" s="5" customFormat="1" ht="12.75" customHeight="1">
      <c r="A2" s="3"/>
      <c r="B2" s="5" t="s">
        <v>10</v>
      </c>
      <c r="C2" s="3"/>
      <c r="D2" s="3"/>
      <c r="E2" s="3"/>
      <c r="F2" s="3"/>
      <c r="G2" s="3"/>
      <c r="H2" s="3"/>
      <c r="I2" s="3"/>
      <c r="J2" s="3"/>
    </row>
    <row r="3" spans="1:10" s="5" customFormat="1" ht="12.75" customHeight="1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ht="12.75" customHeight="1">
      <c r="A4" s="6" t="s">
        <v>3</v>
      </c>
      <c r="B4" s="6" t="s">
        <v>4</v>
      </c>
      <c r="C4" s="6" t="s">
        <v>5</v>
      </c>
      <c r="D4" s="7" t="s">
        <v>6</v>
      </c>
      <c r="E4" s="7" t="s">
        <v>2</v>
      </c>
      <c r="F4" s="7" t="s">
        <v>0</v>
      </c>
      <c r="G4" s="7" t="s">
        <v>1</v>
      </c>
      <c r="H4" s="7" t="s">
        <v>7</v>
      </c>
      <c r="I4" s="7" t="s">
        <v>8</v>
      </c>
      <c r="J4" s="8">
        <v>0.9</v>
      </c>
    </row>
    <row r="5" spans="1:10" ht="12.75" customHeight="1">
      <c r="A5" s="10"/>
      <c r="B5" s="17" t="s">
        <v>9</v>
      </c>
      <c r="C5" s="17"/>
      <c r="D5" s="17"/>
      <c r="E5" s="17"/>
      <c r="F5" s="17"/>
      <c r="G5" s="17"/>
      <c r="H5" s="17"/>
      <c r="I5" s="17"/>
      <c r="J5" s="17"/>
    </row>
    <row r="6" spans="1:10" ht="12.75" customHeight="1">
      <c r="A6" s="10"/>
      <c r="B6" s="17" t="s">
        <v>9</v>
      </c>
      <c r="C6" s="17"/>
      <c r="D6" s="17"/>
      <c r="E6" s="17"/>
      <c r="F6" s="17"/>
      <c r="G6" s="17"/>
      <c r="H6" s="17"/>
      <c r="I6" s="17"/>
      <c r="J6" s="17"/>
    </row>
    <row r="7" spans="1:10" ht="12.75" customHeight="1">
      <c r="A7" s="10"/>
      <c r="B7" s="17" t="s">
        <v>9</v>
      </c>
      <c r="C7" s="17"/>
      <c r="D7" s="17"/>
      <c r="E7" s="17"/>
      <c r="F7" s="17"/>
      <c r="G7" s="17"/>
      <c r="H7" s="17"/>
      <c r="I7" s="17"/>
      <c r="J7" s="17"/>
    </row>
    <row r="8" spans="1:10" ht="12.75" customHeight="1">
      <c r="A8" s="10"/>
      <c r="B8" s="17" t="s">
        <v>9</v>
      </c>
      <c r="C8" s="17"/>
      <c r="D8" s="17"/>
      <c r="E8" s="17"/>
      <c r="F8" s="17"/>
      <c r="G8" s="17"/>
      <c r="H8" s="17"/>
      <c r="I8" s="17"/>
      <c r="J8" s="17"/>
    </row>
    <row r="9" spans="1:10" ht="12.75" customHeight="1">
      <c r="A9" s="11"/>
      <c r="B9" s="6"/>
      <c r="C9" s="12"/>
      <c r="D9" s="13"/>
      <c r="E9" s="13"/>
      <c r="F9" s="13"/>
      <c r="G9" s="13"/>
      <c r="H9" s="13"/>
      <c r="I9" s="13"/>
      <c r="J9" s="13"/>
    </row>
    <row r="10" spans="1:10" ht="12.75" customHeight="1">
      <c r="A10" s="10"/>
      <c r="B10" s="17" t="s">
        <v>9</v>
      </c>
      <c r="C10" s="17"/>
      <c r="D10" s="17"/>
      <c r="E10" s="17"/>
      <c r="F10" s="17"/>
      <c r="G10" s="17"/>
      <c r="H10" s="17"/>
      <c r="I10" s="17"/>
      <c r="J10" s="17"/>
    </row>
    <row r="11" spans="1:10" ht="12.75" customHeight="1">
      <c r="A11" s="10"/>
      <c r="B11" s="17" t="s">
        <v>9</v>
      </c>
      <c r="C11" s="17"/>
      <c r="D11" s="17"/>
      <c r="E11" s="17"/>
      <c r="F11" s="17"/>
      <c r="G11" s="17"/>
      <c r="H11" s="17"/>
      <c r="I11" s="17"/>
      <c r="J11" s="17"/>
    </row>
    <row r="12" spans="1:10" ht="12.75" customHeight="1">
      <c r="A12" s="10"/>
      <c r="B12" s="17" t="s">
        <v>9</v>
      </c>
      <c r="C12" s="17"/>
      <c r="D12" s="17"/>
      <c r="E12" s="17"/>
      <c r="F12" s="17"/>
      <c r="G12" s="17"/>
      <c r="H12" s="17"/>
      <c r="I12" s="17"/>
      <c r="J12" s="17"/>
    </row>
    <row r="13" spans="1:10" ht="12.75" customHeight="1">
      <c r="A13" s="11"/>
      <c r="B13" s="6"/>
      <c r="C13" s="12"/>
      <c r="D13" s="13"/>
      <c r="E13" s="13"/>
      <c r="F13" s="13"/>
      <c r="G13" s="13"/>
      <c r="H13" s="13"/>
      <c r="I13" s="13"/>
      <c r="J13" s="13"/>
    </row>
    <row r="14" spans="1:10" ht="12.75" customHeight="1">
      <c r="A14" s="10"/>
      <c r="B14" s="17" t="s">
        <v>9</v>
      </c>
      <c r="C14" s="17"/>
      <c r="D14" s="17"/>
      <c r="E14" s="17"/>
      <c r="F14" s="17"/>
      <c r="G14" s="17"/>
      <c r="H14" s="17"/>
      <c r="I14" s="17"/>
      <c r="J14" s="17"/>
    </row>
    <row r="15" spans="1:10" ht="12.75" customHeight="1">
      <c r="A15" s="10"/>
      <c r="B15" s="17" t="s">
        <v>9</v>
      </c>
      <c r="C15" s="17"/>
      <c r="D15" s="17"/>
      <c r="E15" s="17"/>
      <c r="F15" s="17"/>
      <c r="G15" s="17"/>
      <c r="H15" s="17"/>
      <c r="I15" s="17"/>
      <c r="J15" s="17"/>
    </row>
    <row r="16" spans="1:10" ht="12.75" customHeight="1">
      <c r="A16" s="10"/>
      <c r="B16" s="17" t="s">
        <v>9</v>
      </c>
      <c r="C16" s="17"/>
      <c r="D16" s="17"/>
      <c r="E16" s="17"/>
      <c r="F16" s="17"/>
      <c r="G16" s="17"/>
      <c r="H16" s="17"/>
      <c r="I16" s="17"/>
      <c r="J16" s="17"/>
    </row>
    <row r="17" spans="1:10" ht="12.75" customHeight="1">
      <c r="A17" s="11"/>
      <c r="B17" s="6"/>
      <c r="C17" s="12"/>
      <c r="D17" s="13"/>
      <c r="E17" s="13"/>
      <c r="F17" s="13"/>
      <c r="G17" s="13"/>
      <c r="H17" s="13"/>
      <c r="I17" s="13"/>
      <c r="J17" s="13"/>
    </row>
    <row r="18" spans="1:10" ht="12.75" customHeight="1">
      <c r="A18" s="10"/>
      <c r="B18" s="17" t="s">
        <v>9</v>
      </c>
      <c r="C18" s="17"/>
      <c r="D18" s="17"/>
      <c r="E18" s="17"/>
      <c r="F18" s="17"/>
      <c r="G18" s="17"/>
      <c r="H18" s="17"/>
      <c r="I18" s="17"/>
      <c r="J18" s="17"/>
    </row>
    <row r="19" spans="1:10" ht="12.75" customHeight="1">
      <c r="A19" s="10"/>
      <c r="B19" s="17" t="s">
        <v>9</v>
      </c>
      <c r="C19" s="17"/>
      <c r="D19" s="17"/>
      <c r="E19" s="17"/>
      <c r="F19" s="17"/>
      <c r="G19" s="17"/>
      <c r="H19" s="17"/>
      <c r="I19" s="17"/>
      <c r="J19" s="17"/>
    </row>
    <row r="20" spans="1:10" ht="12.75" customHeight="1">
      <c r="A20" s="10"/>
      <c r="B20" s="17" t="s">
        <v>9</v>
      </c>
      <c r="C20" s="17"/>
      <c r="D20" s="17"/>
      <c r="E20" s="17"/>
      <c r="F20" s="17"/>
      <c r="G20" s="17"/>
      <c r="H20" s="17"/>
      <c r="I20" s="17"/>
      <c r="J20" s="17"/>
    </row>
    <row r="21" spans="1:10" ht="12.75" customHeight="1">
      <c r="A21" s="11"/>
      <c r="B21" s="6"/>
      <c r="C21" s="12"/>
      <c r="D21" s="13"/>
      <c r="E21" s="13"/>
      <c r="F21" s="13"/>
      <c r="G21" s="13"/>
      <c r="H21" s="13"/>
      <c r="I21" s="13"/>
      <c r="J21" s="13"/>
    </row>
    <row r="22" spans="1:10" ht="12.75" customHeight="1">
      <c r="A22" s="10"/>
      <c r="B22" s="17" t="s">
        <v>9</v>
      </c>
      <c r="C22" s="17"/>
      <c r="D22" s="17"/>
      <c r="E22" s="17"/>
      <c r="F22" s="17"/>
      <c r="G22" s="17"/>
      <c r="H22" s="17"/>
      <c r="I22" s="17"/>
      <c r="J22" s="17"/>
    </row>
    <row r="23" spans="1:10" ht="12.75" customHeight="1">
      <c r="A23" s="10"/>
      <c r="B23" s="17" t="s">
        <v>9</v>
      </c>
      <c r="C23" s="17"/>
      <c r="D23" s="17"/>
      <c r="E23" s="17"/>
      <c r="F23" s="17"/>
      <c r="G23" s="17"/>
      <c r="H23" s="17"/>
      <c r="I23" s="17"/>
      <c r="J23" s="17"/>
    </row>
    <row r="24" spans="1:10" ht="12.75" customHeight="1">
      <c r="A24" s="10"/>
      <c r="B24" s="17" t="s">
        <v>9</v>
      </c>
      <c r="C24" s="17"/>
      <c r="D24" s="17"/>
      <c r="E24" s="17"/>
      <c r="F24" s="17"/>
      <c r="G24" s="17"/>
      <c r="H24" s="17"/>
      <c r="I24" s="17"/>
      <c r="J24" s="17"/>
    </row>
    <row r="25" spans="1:10" ht="12.75" customHeight="1">
      <c r="A25" s="11"/>
      <c r="B25" s="6"/>
      <c r="C25" s="12"/>
      <c r="D25" s="13"/>
      <c r="E25" s="13"/>
      <c r="F25" s="13"/>
      <c r="G25" s="13"/>
      <c r="H25" s="13"/>
      <c r="I25" s="13"/>
      <c r="J25" s="13"/>
    </row>
    <row r="26" spans="1:10" ht="12.75" customHeight="1">
      <c r="A26" s="10"/>
      <c r="B26" s="17" t="s">
        <v>9</v>
      </c>
      <c r="C26" s="17"/>
      <c r="D26" s="17"/>
      <c r="E26" s="17"/>
      <c r="F26" s="17"/>
      <c r="G26" s="17"/>
      <c r="H26" s="17"/>
      <c r="I26" s="17"/>
      <c r="J26" s="17"/>
    </row>
    <row r="27" spans="1:10" ht="12.75" customHeight="1">
      <c r="A27" s="10"/>
      <c r="B27" s="17" t="s">
        <v>9</v>
      </c>
      <c r="C27" s="17"/>
      <c r="D27" s="17"/>
      <c r="E27" s="17"/>
      <c r="F27" s="17"/>
      <c r="G27" s="17"/>
      <c r="H27" s="17"/>
      <c r="I27" s="17"/>
      <c r="J27" s="17"/>
    </row>
    <row r="28" spans="1:10" ht="12.75" customHeight="1">
      <c r="A28" s="10"/>
      <c r="B28" s="17" t="s">
        <v>9</v>
      </c>
      <c r="C28" s="17"/>
      <c r="D28" s="17"/>
      <c r="E28" s="17"/>
      <c r="F28" s="17"/>
      <c r="G28" s="17"/>
      <c r="H28" s="17"/>
      <c r="I28" s="17"/>
      <c r="J28" s="17"/>
    </row>
    <row r="29" spans="1:10" ht="12.75" customHeight="1">
      <c r="A29" s="11"/>
      <c r="B29" s="12"/>
      <c r="C29" s="12"/>
      <c r="D29" s="13"/>
      <c r="E29" s="13"/>
      <c r="F29" s="13"/>
      <c r="G29" s="13"/>
      <c r="H29" s="13"/>
      <c r="I29" s="13"/>
      <c r="J29" s="13"/>
    </row>
    <row r="30" spans="1:10" s="14" customFormat="1" ht="12.75" hidden="1" customHeight="1">
      <c r="A30" s="10"/>
      <c r="B30" s="17" t="s">
        <v>9</v>
      </c>
      <c r="C30" s="17">
        <v>200</v>
      </c>
      <c r="D30" s="17">
        <v>200</v>
      </c>
      <c r="E30" s="17"/>
      <c r="F30" s="17"/>
      <c r="G30" s="17"/>
      <c r="H30" s="17"/>
      <c r="I30" s="17"/>
      <c r="J30" s="17"/>
    </row>
    <row r="31" spans="1:10" s="14" customFormat="1" ht="12.75" hidden="1" customHeight="1">
      <c r="A31" s="10"/>
      <c r="B31" s="17" t="s">
        <v>9</v>
      </c>
      <c r="C31" s="17">
        <v>200</v>
      </c>
      <c r="D31" s="17">
        <v>200</v>
      </c>
      <c r="E31" s="17"/>
      <c r="F31" s="17"/>
      <c r="G31" s="17"/>
      <c r="H31" s="17"/>
      <c r="I31" s="17"/>
      <c r="J31" s="17"/>
    </row>
    <row r="32" spans="1:10" s="14" customFormat="1" ht="12.75" hidden="1" customHeight="1">
      <c r="A32" s="10"/>
      <c r="B32" s="17" t="s">
        <v>9</v>
      </c>
      <c r="C32" s="17">
        <v>200</v>
      </c>
      <c r="D32" s="17">
        <v>200</v>
      </c>
      <c r="E32" s="17"/>
      <c r="F32" s="17"/>
      <c r="G32" s="17"/>
      <c r="H32" s="17"/>
      <c r="I32" s="17"/>
      <c r="J32" s="17"/>
    </row>
    <row r="33" spans="1:10" ht="15.5" hidden="1">
      <c r="A33" s="11"/>
      <c r="B33" s="12"/>
      <c r="C33" s="12"/>
      <c r="D33" s="13"/>
      <c r="E33" s="13"/>
      <c r="F33" s="13"/>
      <c r="G33" s="13"/>
      <c r="H33" s="13"/>
      <c r="I33" s="13"/>
      <c r="J33" s="13"/>
    </row>
  </sheetData>
  <printOptions horizontalCentered="1"/>
  <pageMargins left="0.75" right="0.75" top="1.06" bottom="1" header="0.5" footer="0.5"/>
  <pageSetup scale="94" fitToHeight="4" orientation="landscape" r:id="rId1"/>
  <headerFooter alignWithMargins="0">
    <oddHeader xml:space="preserve">&amp;L*** P.S.T. Results ***&amp;C&amp;"Arial,Bold"&amp;12Media Management (C.0)&amp;R  </oddHeader>
    <oddFooter>&amp;L
&amp;A&amp;C&amp;"Arial,Italic"CSC Confidential Information
Use and Disclosure 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2"/>
  <dimension ref="A1:J33"/>
  <sheetViews>
    <sheetView zoomScale="90" zoomScaleNormal="100" workbookViewId="0">
      <selection activeCell="C5" sqref="C5:J28"/>
    </sheetView>
  </sheetViews>
  <sheetFormatPr defaultColWidth="8.6328125" defaultRowHeight="12.5"/>
  <cols>
    <col min="1" max="1" width="2.6328125" style="9" customWidth="1"/>
    <col min="2" max="2" width="41.36328125" style="9" customWidth="1"/>
    <col min="3" max="4" width="7.6328125" style="15" customWidth="1"/>
    <col min="5" max="8" width="7.6328125" style="16" customWidth="1"/>
    <col min="9" max="9" width="7.6328125" style="15" customWidth="1"/>
    <col min="10" max="10" width="11" style="23" customWidth="1"/>
    <col min="11" max="16384" width="8.6328125" style="9"/>
  </cols>
  <sheetData>
    <row r="1" spans="1:10" s="5" customFormat="1" ht="15" customHeight="1">
      <c r="A1" s="3"/>
      <c r="B1" s="4" t="s">
        <v>12</v>
      </c>
      <c r="C1" s="3"/>
      <c r="D1" s="3"/>
      <c r="E1" s="3"/>
      <c r="F1" s="3"/>
      <c r="G1" s="3"/>
      <c r="H1" s="3"/>
      <c r="I1" s="3"/>
      <c r="J1" s="19"/>
    </row>
    <row r="2" spans="1:10" s="5" customFormat="1" ht="12.75" customHeight="1">
      <c r="A2" s="3"/>
      <c r="B2" s="5" t="s">
        <v>10</v>
      </c>
      <c r="C2" s="3"/>
      <c r="D2" s="3"/>
      <c r="E2" s="3"/>
      <c r="F2" s="3"/>
      <c r="G2" s="3"/>
      <c r="H2" s="3"/>
      <c r="I2" s="3"/>
      <c r="J2" s="19"/>
    </row>
    <row r="3" spans="1:10" s="5" customFormat="1" ht="12.75" customHeight="1">
      <c r="A3" s="3"/>
      <c r="B3" s="3"/>
      <c r="C3" s="3"/>
      <c r="D3" s="3"/>
      <c r="E3" s="3"/>
      <c r="F3" s="3"/>
      <c r="G3" s="3"/>
      <c r="H3" s="3"/>
      <c r="I3" s="3"/>
      <c r="J3" s="19"/>
    </row>
    <row r="4" spans="1:10" ht="12.75" customHeight="1">
      <c r="A4" s="6" t="s">
        <v>3</v>
      </c>
      <c r="B4" s="6" t="s">
        <v>4</v>
      </c>
      <c r="C4" s="6" t="s">
        <v>5</v>
      </c>
      <c r="D4" s="7" t="s">
        <v>6</v>
      </c>
      <c r="E4" s="7" t="s">
        <v>2</v>
      </c>
      <c r="F4" s="7" t="s">
        <v>0</v>
      </c>
      <c r="G4" s="7" t="s">
        <v>1</v>
      </c>
      <c r="H4" s="7" t="s">
        <v>7</v>
      </c>
      <c r="I4" s="8">
        <v>0.9</v>
      </c>
      <c r="J4" s="20" t="s">
        <v>13</v>
      </c>
    </row>
    <row r="5" spans="1:10" ht="12.75" customHeight="1">
      <c r="A5" s="10"/>
      <c r="B5" s="17" t="s">
        <v>9</v>
      </c>
      <c r="C5" s="18"/>
      <c r="D5" s="18"/>
      <c r="E5" s="24"/>
      <c r="F5" s="24"/>
      <c r="G5" s="24"/>
      <c r="H5" s="24"/>
      <c r="I5" s="24"/>
      <c r="J5" s="21"/>
    </row>
    <row r="6" spans="1:10" ht="12.75" customHeight="1">
      <c r="A6" s="10"/>
      <c r="B6" s="17" t="s">
        <v>9</v>
      </c>
      <c r="C6" s="17"/>
      <c r="D6" s="17"/>
      <c r="E6" s="24"/>
      <c r="F6" s="24"/>
      <c r="G6" s="24"/>
      <c r="H6" s="24"/>
      <c r="I6" s="24"/>
      <c r="J6" s="21"/>
    </row>
    <row r="7" spans="1:10" ht="12.75" customHeight="1">
      <c r="A7" s="10"/>
      <c r="B7" s="17" t="s">
        <v>9</v>
      </c>
      <c r="C7" s="17"/>
      <c r="D7" s="17"/>
      <c r="E7" s="24"/>
      <c r="F7" s="24"/>
      <c r="G7" s="24"/>
      <c r="H7" s="24"/>
      <c r="I7" s="24"/>
      <c r="J7" s="21"/>
    </row>
    <row r="8" spans="1:10" ht="12.75" customHeight="1">
      <c r="A8" s="10"/>
      <c r="B8" s="17" t="s">
        <v>9</v>
      </c>
      <c r="C8" s="17"/>
      <c r="D8" s="18"/>
      <c r="E8" s="24"/>
      <c r="F8" s="24"/>
      <c r="G8" s="24"/>
      <c r="H8" s="24"/>
      <c r="I8" s="24"/>
      <c r="J8" s="21"/>
    </row>
    <row r="9" spans="1:10" ht="12.75" customHeight="1">
      <c r="A9" s="11"/>
      <c r="B9" s="6"/>
      <c r="C9" s="12"/>
      <c r="D9" s="13"/>
      <c r="E9" s="13"/>
      <c r="F9" s="13"/>
      <c r="G9" s="13"/>
      <c r="H9" s="13"/>
      <c r="I9" s="13"/>
      <c r="J9" s="20"/>
    </row>
    <row r="10" spans="1:10" ht="12.75" customHeight="1">
      <c r="A10" s="10"/>
      <c r="B10" s="17" t="s">
        <v>9</v>
      </c>
      <c r="C10" s="18"/>
      <c r="D10" s="18"/>
      <c r="E10" s="24"/>
      <c r="F10" s="24"/>
      <c r="G10" s="24"/>
      <c r="H10" s="24"/>
      <c r="I10" s="24"/>
      <c r="J10" s="21"/>
    </row>
    <row r="11" spans="1:10" ht="12.75" customHeight="1">
      <c r="A11" s="10"/>
      <c r="B11" s="17" t="s">
        <v>9</v>
      </c>
      <c r="C11" s="18"/>
      <c r="D11" s="18"/>
      <c r="E11" s="24"/>
      <c r="F11" s="24"/>
      <c r="G11" s="24"/>
      <c r="H11" s="24"/>
      <c r="I11" s="24"/>
      <c r="J11" s="21"/>
    </row>
    <row r="12" spans="1:10" ht="12.75" customHeight="1">
      <c r="A12" s="10"/>
      <c r="B12" s="17" t="s">
        <v>9</v>
      </c>
      <c r="C12" s="18"/>
      <c r="D12" s="18"/>
      <c r="E12" s="24"/>
      <c r="F12" s="24"/>
      <c r="G12" s="24"/>
      <c r="H12" s="24"/>
      <c r="I12" s="24"/>
      <c r="J12" s="21"/>
    </row>
    <row r="13" spans="1:10" ht="12.75" customHeight="1">
      <c r="A13" s="11"/>
      <c r="B13" s="6"/>
      <c r="C13" s="12"/>
      <c r="D13" s="13"/>
      <c r="E13" s="13"/>
      <c r="F13" s="13"/>
      <c r="G13" s="13"/>
      <c r="H13" s="13"/>
      <c r="I13" s="13"/>
      <c r="J13" s="20"/>
    </row>
    <row r="14" spans="1:10" ht="12.75" customHeight="1">
      <c r="A14" s="10"/>
      <c r="B14" s="17" t="s">
        <v>9</v>
      </c>
      <c r="C14" s="18"/>
      <c r="D14" s="18"/>
      <c r="E14" s="24"/>
      <c r="F14" s="24"/>
      <c r="G14" s="24"/>
      <c r="H14" s="24"/>
      <c r="I14" s="24"/>
      <c r="J14" s="21"/>
    </row>
    <row r="15" spans="1:10" ht="12.75" customHeight="1">
      <c r="A15" s="10"/>
      <c r="B15" s="17" t="s">
        <v>9</v>
      </c>
      <c r="C15" s="18"/>
      <c r="D15" s="18"/>
      <c r="E15" s="24"/>
      <c r="F15" s="24"/>
      <c r="G15" s="24"/>
      <c r="H15" s="24"/>
      <c r="I15" s="24"/>
      <c r="J15" s="21"/>
    </row>
    <row r="16" spans="1:10" ht="12.75" customHeight="1">
      <c r="A16" s="10"/>
      <c r="B16" s="17" t="s">
        <v>9</v>
      </c>
      <c r="C16" s="18"/>
      <c r="D16" s="18"/>
      <c r="E16" s="24"/>
      <c r="F16" s="24"/>
      <c r="G16" s="24"/>
      <c r="H16" s="24"/>
      <c r="I16" s="24"/>
      <c r="J16" s="21"/>
    </row>
    <row r="17" spans="1:10" ht="12.75" customHeight="1">
      <c r="A17" s="11"/>
      <c r="B17" s="6"/>
      <c r="C17" s="12"/>
      <c r="D17" s="13"/>
      <c r="E17" s="13"/>
      <c r="F17" s="13"/>
      <c r="G17" s="13"/>
      <c r="H17" s="13"/>
      <c r="I17" s="13"/>
      <c r="J17" s="20"/>
    </row>
    <row r="18" spans="1:10" ht="12.75" customHeight="1">
      <c r="A18" s="10"/>
      <c r="B18" s="17" t="s">
        <v>9</v>
      </c>
      <c r="C18" s="18"/>
      <c r="D18" s="18"/>
      <c r="E18" s="24"/>
      <c r="F18" s="24"/>
      <c r="G18" s="24"/>
      <c r="H18" s="24"/>
      <c r="I18" s="24"/>
      <c r="J18" s="21"/>
    </row>
    <row r="19" spans="1:10" ht="12.75" customHeight="1">
      <c r="A19" s="10"/>
      <c r="B19" s="17" t="s">
        <v>9</v>
      </c>
      <c r="C19" s="18"/>
      <c r="D19" s="18"/>
      <c r="E19" s="24"/>
      <c r="F19" s="24"/>
      <c r="G19" s="24"/>
      <c r="H19" s="24"/>
      <c r="I19" s="24"/>
      <c r="J19" s="21"/>
    </row>
    <row r="20" spans="1:10" ht="12.75" customHeight="1">
      <c r="A20" s="10"/>
      <c r="B20" s="17" t="s">
        <v>9</v>
      </c>
      <c r="C20" s="18"/>
      <c r="D20" s="18"/>
      <c r="E20" s="24"/>
      <c r="F20" s="24"/>
      <c r="G20" s="24"/>
      <c r="H20" s="24"/>
      <c r="I20" s="24"/>
      <c r="J20" s="21"/>
    </row>
    <row r="21" spans="1:10" ht="12.75" customHeight="1">
      <c r="A21" s="11"/>
      <c r="B21" s="6"/>
      <c r="C21" s="12"/>
      <c r="D21" s="13"/>
      <c r="E21" s="13"/>
      <c r="F21" s="13"/>
      <c r="G21" s="13"/>
      <c r="H21" s="13"/>
      <c r="I21" s="13"/>
      <c r="J21" s="20"/>
    </row>
    <row r="22" spans="1:10" ht="12.75" customHeight="1">
      <c r="A22" s="10"/>
      <c r="B22" s="17" t="s">
        <v>9</v>
      </c>
      <c r="C22" s="18"/>
      <c r="D22" s="18"/>
      <c r="E22" s="24"/>
      <c r="F22" s="24"/>
      <c r="G22" s="24"/>
      <c r="H22" s="24"/>
      <c r="I22" s="24"/>
      <c r="J22" s="21"/>
    </row>
    <row r="23" spans="1:10" ht="12.75" customHeight="1">
      <c r="A23" s="10"/>
      <c r="B23" s="17" t="s">
        <v>9</v>
      </c>
      <c r="C23" s="18"/>
      <c r="D23" s="18"/>
      <c r="E23" s="24"/>
      <c r="F23" s="24"/>
      <c r="G23" s="24"/>
      <c r="H23" s="24"/>
      <c r="I23" s="24"/>
      <c r="J23" s="21"/>
    </row>
    <row r="24" spans="1:10" ht="12.75" customHeight="1">
      <c r="A24" s="10"/>
      <c r="B24" s="17" t="s">
        <v>9</v>
      </c>
      <c r="C24" s="18"/>
      <c r="D24" s="18"/>
      <c r="E24" s="24"/>
      <c r="F24" s="24"/>
      <c r="G24" s="24"/>
      <c r="H24" s="24"/>
      <c r="I24" s="24"/>
      <c r="J24" s="21"/>
    </row>
    <row r="25" spans="1:10" ht="12.75" customHeight="1">
      <c r="A25" s="11"/>
      <c r="B25" s="6"/>
      <c r="C25" s="12"/>
      <c r="D25" s="13"/>
      <c r="E25" s="13"/>
      <c r="F25" s="13"/>
      <c r="G25" s="13"/>
      <c r="H25" s="13"/>
      <c r="I25" s="13"/>
      <c r="J25" s="20"/>
    </row>
    <row r="26" spans="1:10" ht="12.75" customHeight="1">
      <c r="A26" s="10"/>
      <c r="B26" s="17" t="s">
        <v>9</v>
      </c>
      <c r="C26" s="18"/>
      <c r="D26" s="18"/>
      <c r="E26" s="24"/>
      <c r="F26" s="24"/>
      <c r="G26" s="24"/>
      <c r="H26" s="24"/>
      <c r="I26" s="24"/>
      <c r="J26" s="21"/>
    </row>
    <row r="27" spans="1:10" ht="12.75" customHeight="1">
      <c r="A27" s="10"/>
      <c r="B27" s="17" t="s">
        <v>9</v>
      </c>
      <c r="C27" s="18"/>
      <c r="D27" s="18"/>
      <c r="E27" s="24"/>
      <c r="F27" s="24"/>
      <c r="G27" s="24"/>
      <c r="H27" s="24"/>
      <c r="I27" s="24"/>
      <c r="J27" s="21"/>
    </row>
    <row r="28" spans="1:10" ht="12.75" customHeight="1">
      <c r="A28" s="10"/>
      <c r="B28" s="17" t="s">
        <v>9</v>
      </c>
      <c r="C28" s="18"/>
      <c r="D28" s="18"/>
      <c r="E28" s="24"/>
      <c r="F28" s="24"/>
      <c r="G28" s="24"/>
      <c r="H28" s="24"/>
      <c r="I28" s="24"/>
      <c r="J28" s="21"/>
    </row>
    <row r="29" spans="1:10" ht="12.75" customHeight="1">
      <c r="A29" s="11"/>
      <c r="B29" s="12"/>
      <c r="C29" s="12"/>
      <c r="D29" s="13"/>
      <c r="E29" s="13"/>
      <c r="F29" s="13"/>
      <c r="G29" s="13"/>
      <c r="H29" s="13"/>
      <c r="I29" s="13"/>
      <c r="J29" s="22"/>
    </row>
    <row r="30" spans="1:10" s="14" customFormat="1" ht="12.75" hidden="1" customHeight="1">
      <c r="A30" s="10"/>
      <c r="B30" s="17" t="s">
        <v>9</v>
      </c>
      <c r="C30" s="17">
        <v>200</v>
      </c>
      <c r="D30" s="17">
        <v>200</v>
      </c>
      <c r="E30" s="17"/>
      <c r="F30" s="17"/>
      <c r="G30" s="17"/>
      <c r="H30" s="17"/>
      <c r="I30" s="17"/>
      <c r="J30" s="21" t="s">
        <v>9</v>
      </c>
    </row>
    <row r="31" spans="1:10" s="14" customFormat="1" ht="12.75" hidden="1" customHeight="1">
      <c r="A31" s="10"/>
      <c r="B31" s="17" t="s">
        <v>9</v>
      </c>
      <c r="C31" s="17">
        <v>200</v>
      </c>
      <c r="D31" s="17">
        <v>200</v>
      </c>
      <c r="E31" s="17"/>
      <c r="F31" s="17"/>
      <c r="G31" s="17"/>
      <c r="H31" s="17"/>
      <c r="I31" s="17"/>
      <c r="J31" s="21" t="s">
        <v>9</v>
      </c>
    </row>
    <row r="32" spans="1:10" s="14" customFormat="1" ht="12.75" hidden="1" customHeight="1">
      <c r="A32" s="10"/>
      <c r="B32" s="17" t="s">
        <v>9</v>
      </c>
      <c r="C32" s="17">
        <v>200</v>
      </c>
      <c r="D32" s="17">
        <v>200</v>
      </c>
      <c r="E32" s="17"/>
      <c r="F32" s="17"/>
      <c r="G32" s="17"/>
      <c r="H32" s="17"/>
      <c r="I32" s="17"/>
      <c r="J32" s="21" t="s">
        <v>9</v>
      </c>
    </row>
    <row r="33" spans="1:10" ht="15.5" hidden="1">
      <c r="A33" s="11"/>
      <c r="B33" s="12"/>
      <c r="C33" s="12"/>
      <c r="D33" s="13"/>
      <c r="E33" s="13"/>
      <c r="F33" s="13"/>
      <c r="G33" s="13"/>
      <c r="H33" s="13"/>
      <c r="I33" s="13"/>
      <c r="J33" s="22"/>
    </row>
  </sheetData>
  <printOptions horizontalCentered="1"/>
  <pageMargins left="0.75" right="0.75" top="1.06" bottom="1" header="0.5" footer="0.5"/>
  <pageSetup scale="94" fitToHeight="4" orientation="landscape" r:id="rId1"/>
  <headerFooter alignWithMargins="0">
    <oddHeader xml:space="preserve">&amp;L*** P.S.T. Results ***&amp;C&amp;"Arial,Bold"&amp;12Media Management (C.0)&amp;R  </oddHeader>
    <oddFooter>&amp;L
&amp;A&amp;C&amp;"Arial,Italic"CSC Confidential Information
Use and Disclosure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Compare Results</vt:lpstr>
      <vt:lpstr>TC7</vt:lpstr>
      <vt:lpstr>TC20</vt:lpstr>
      <vt:lpstr>'TC20'!Print_Area</vt:lpstr>
      <vt:lpstr>'TC7'!Print_Area</vt:lpstr>
      <vt:lpstr>'TC20'!Print_Titles</vt:lpstr>
      <vt:lpstr>'TC7'!Print_Titles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2023-01-05T06:06:39Z</dcterms:modified>
</cp:coreProperties>
</file>